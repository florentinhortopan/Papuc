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01 Grant" sheetId="1" r:id="rId5"/>
    <sheet state="visible" name="2319 Ward" sheetId="2" r:id="rId6"/>
    <sheet state="visible" name="2717 Mabel" sheetId="3" r:id="rId7"/>
    <sheet state="visible" name="Contaxts" sheetId="4" r:id="rId8"/>
    <sheet state="visible" name="Template" sheetId="5" r:id="rId9"/>
  </sheets>
  <definedNames>
    <definedName name="LoanStartDate">#REF!</definedName>
    <definedName name="ScheduledPayment">#REF!</definedName>
    <definedName name="RowTitleRegion4..H9">#REF!</definedName>
    <definedName name="RowTitleRegion2..I7">#REF!</definedName>
    <definedName name="LenderName">#REF!</definedName>
    <definedName name="RowTitleRegion1..E9">#REF!</definedName>
    <definedName name="PaymentsPerYear">#REF!</definedName>
    <definedName name="InterestRate">#REF!</definedName>
    <definedName name="RowTitleRegion3..E9">#REF!</definedName>
    <definedName name="LoanAmount">#REF!</definedName>
    <definedName name="ExtraPayments">#REF!</definedName>
    <definedName name="LoanPeriod">#REF!</definedName>
    <definedName name="ScheduledNumberOfPaymen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 :
Don't touch.  These are your results based on your assumptions. 
</t>
      </text>
    </comment>
    <comment authorId="0" ref="C32">
      <text>
        <t xml:space="preserve"> :
NOTE: Only adjust numbers in yellow areas.</t>
      </text>
    </comment>
    <comment authorId="0" ref="D32">
      <text>
        <t xml:space="preserve"> :
NOTE: Only adjust numbers in yellow areas.</t>
      </text>
    </comment>
    <comment authorId="0" ref="E32">
      <text>
        <t xml:space="preserve"> :
NOTE: Only adjust numbers in yellow areas.</t>
      </text>
    </comment>
    <comment authorId="0" ref="F32">
      <text>
        <t xml:space="preserve"> :
NOTE: Only adjust numbers in yellow areas.</t>
      </text>
    </comment>
    <comment authorId="0" ref="G32">
      <text>
        <t xml:space="preserve"> :
NOTE: Only adjust numbers in yellow areas.</t>
      </text>
    </comment>
    <comment authorId="0" ref="H32">
      <text>
        <t xml:space="preserve"> :
NOTE: Only adjust numbers in yellow areas.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 :
Don't touch.  These are your results based on your assumptions. 
</t>
      </text>
    </comment>
    <comment authorId="0" ref="C32">
      <text>
        <t xml:space="preserve"> :
NOTE: Only adjust numbers in yellow areas.</t>
      </text>
    </comment>
    <comment authorId="0" ref="D32">
      <text>
        <t xml:space="preserve"> :
NOTE: Only adjust numbers in yellow areas.</t>
      </text>
    </comment>
    <comment authorId="0" ref="E32">
      <text>
        <t xml:space="preserve"> :
NOTE: Only adjust numbers in yellow areas.</t>
      </text>
    </comment>
    <comment authorId="0" ref="F32">
      <text>
        <t xml:space="preserve"> :
NOTE: Only adjust numbers in yellow areas.</t>
      </text>
    </comment>
    <comment authorId="0" ref="G32">
      <text>
        <t xml:space="preserve"> :
NOTE: Only adjust numbers in yellow areas.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 :
Don't touch.  These are your results based on your assumptions. 
</t>
      </text>
    </comment>
    <comment authorId="0" ref="C32">
      <text>
        <t xml:space="preserve"> :
NOTE: Only adjust numbers in yellow areas.</t>
      </text>
    </comment>
    <comment authorId="0" ref="D32">
      <text>
        <t xml:space="preserve"> :
NOTE: Only adjust numbers in yellow areas.</t>
      </text>
    </comment>
    <comment authorId="0" ref="E32">
      <text>
        <t xml:space="preserve"> :
NOTE: Only adjust numbers in yellow areas.</t>
      </text>
    </comment>
    <comment authorId="0" ref="F32">
      <text>
        <t xml:space="preserve"> :
NOTE: Only adjust numbers in yellow areas.</t>
      </text>
    </comment>
    <comment authorId="0" ref="G32">
      <text>
        <t xml:space="preserve"> :
NOTE: Only adjust numbers in yellow areas.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 :
Don't touch.  These are your results based on your assumptions. 
</t>
      </text>
    </comment>
    <comment authorId="0" ref="C32">
      <text>
        <t xml:space="preserve"> :
NOTE: Only adjust numbers in yellow areas.</t>
      </text>
    </comment>
  </commentList>
</comments>
</file>

<file path=xl/sharedStrings.xml><?xml version="1.0" encoding="utf-8"?>
<sst xmlns="http://schemas.openxmlformats.org/spreadsheetml/2006/main" count="371" uniqueCount="96">
  <si>
    <t>2701 Grant st. Berkeley</t>
  </si>
  <si>
    <t>https://www.redfin.com/CA/Berkeley/2701-Grant-St-94703/home/1988003</t>
  </si>
  <si>
    <t>ACQUISTION ASSUMPTIONS</t>
  </si>
  <si>
    <t>RESULTS</t>
  </si>
  <si>
    <t>Purchase Price</t>
  </si>
  <si>
    <t>Initial Sunk Investment</t>
  </si>
  <si>
    <t>DSCR -if LTR</t>
  </si>
  <si>
    <t>conservative</t>
  </si>
  <si>
    <t>lucky</t>
  </si>
  <si>
    <t>Down Payment</t>
  </si>
  <si>
    <t>Annual Pre-Tax Profits</t>
  </si>
  <si>
    <t>Yearly income</t>
  </si>
  <si>
    <t>Improvements</t>
  </si>
  <si>
    <t>Annual After-Tax Profits</t>
  </si>
  <si>
    <t>NOI Y</t>
  </si>
  <si>
    <t>Tax Rate</t>
  </si>
  <si>
    <t>Payout (years)</t>
  </si>
  <si>
    <t>Obbligations Y</t>
  </si>
  <si>
    <t>Equity Gained/Created After 5 Years</t>
  </si>
  <si>
    <t>Cash-on-Cash Return</t>
  </si>
  <si>
    <t>Ratio</t>
  </si>
  <si>
    <t>5-Yr Internal Rate of Return</t>
  </si>
  <si>
    <t>FIXED EXPENSES ASSUMPTIONS</t>
  </si>
  <si>
    <t>5-Yr Equity Multiple</t>
  </si>
  <si>
    <t>Mortgage Payment</t>
  </si>
  <si>
    <t>Taxes</t>
  </si>
  <si>
    <t>PMI (mortgage insurance)</t>
  </si>
  <si>
    <t>TAXES AND OTHER ASSUMPTIONS</t>
  </si>
  <si>
    <t>Utilities</t>
  </si>
  <si>
    <t>Property taxes</t>
  </si>
  <si>
    <t>Maintenance</t>
  </si>
  <si>
    <t>Local fees</t>
  </si>
  <si>
    <t>Home owner Insurance</t>
  </si>
  <si>
    <t>Advertising</t>
  </si>
  <si>
    <t xml:space="preserve">  </t>
  </si>
  <si>
    <t>Misc.</t>
  </si>
  <si>
    <t>Others</t>
  </si>
  <si>
    <t>TOTAL MONTHLY PAYMENT</t>
  </si>
  <si>
    <t>VARIABLE EXPENSES ASSUMPTIONS</t>
  </si>
  <si>
    <t>Management Fee</t>
  </si>
  <si>
    <t>TOTAL YEARLY PAYMENT</t>
  </si>
  <si>
    <t>Cleaning Cost per Stay</t>
  </si>
  <si>
    <t>Booking Cost (Airbnb Fee)</t>
  </si>
  <si>
    <t>Supply Cost per Stay</t>
  </si>
  <si>
    <t>Cleaning Revenue per Stay</t>
  </si>
  <si>
    <t>REVENUE ASSUMPTIONS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</si>
  <si>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</si>
  <si>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</si>
  <si>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</si>
  <si>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</si>
  <si>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</si>
  <si>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</si>
  <si>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</si>
  <si>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</si>
  <si>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</si>
  <si>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</si>
  <si>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</si>
  <si>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</si>
  <si>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# of Nights</t>
  </si>
  <si>
    <t>Average Nightly Rate</t>
  </si>
  <si>
    <t>Occupancy Rate</t>
  </si>
  <si>
    <t>Average Stays</t>
  </si>
  <si>
    <t>TOTAL ANNUAL</t>
  </si>
  <si>
    <t>Rental Revenue</t>
  </si>
  <si>
    <t>Cleaning Revenue</t>
  </si>
  <si>
    <t>TOTAL REVENUE</t>
  </si>
  <si>
    <t>Management Fee (optional)</t>
  </si>
  <si>
    <t>Cleaning Cost</t>
  </si>
  <si>
    <t>Booking Cost (3%)</t>
  </si>
  <si>
    <t>Supplies Cost</t>
  </si>
  <si>
    <t>TOTAL VARIABLE COSTS</t>
  </si>
  <si>
    <t>CONTRIBUTIONS</t>
  </si>
  <si>
    <t>Loan/Taxes/PMI per month</t>
  </si>
  <si>
    <t>Utilities per month</t>
  </si>
  <si>
    <t>Maintenance per month</t>
  </si>
  <si>
    <t>Insurance per month</t>
  </si>
  <si>
    <t>Misc. per month</t>
  </si>
  <si>
    <t>TOTAL FIXED PERIOD COSTS</t>
  </si>
  <si>
    <t>Pre-Tax Profits</t>
  </si>
  <si>
    <t>INTERNAL RATE OF RETURN CALCULATION</t>
  </si>
  <si>
    <t>2319 Ward St, Berkeley, CA 94705</t>
  </si>
  <si>
    <t>https://www.redfin.com/CA/Berkeley/2319-Ward-St-94705/home/1534530</t>
  </si>
  <si>
    <t>https://www.compass.com/homedetails/2319-Ward-St-Berkeley-CA-94705/1QQOIS_pid/</t>
  </si>
  <si>
    <t>2717 Mabel St , Berkeley, CA 94702</t>
  </si>
  <si>
    <t>name</t>
  </si>
  <si>
    <t>contact</t>
  </si>
  <si>
    <t>phone</t>
  </si>
  <si>
    <t>notes</t>
  </si>
  <si>
    <t>Location</t>
  </si>
  <si>
    <t>Contacted</t>
  </si>
  <si>
    <t>Grifin</t>
  </si>
  <si>
    <t>(855) 394-8288 / (855) 651-2871</t>
  </si>
  <si>
    <t>DSCR, many / pass Fl0A..Fiha</t>
  </si>
  <si>
    <t>San Diego</t>
  </si>
  <si>
    <t>Y</t>
  </si>
  <si>
    <t>Property Investment Pro-Forma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</si>
</sst>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 &quot;&quot;$&quot;* #,##0&quot; &quot;;&quot; &quot;&quot;$&quot;* (#,##0);&quot; &quot;&quot;$&quot;* &quot;-&quot;??&quot; &quot;"/>
    <numFmt numFmtId="165" formatCode="&quot; &quot;&quot;$&quot;* #,##0.00&quot; &quot;;&quot; &quot;&quot;$&quot;* (#,##0.00);&quot; &quot;&quot;$&quot;* &quot;-&quot;??&quot; &quot;"/>
    <numFmt numFmtId="166" formatCode="_(&quot;$&quot;* #,##0_);_(&quot;$&quot;* \(#,##0\);_(&quot;$&quot;* &quot;-&quot;??_);_(@_)"/>
    <numFmt numFmtId="167" formatCode="0.0"/>
    <numFmt numFmtId="168" formatCode="&quot;$&quot;#,##0&quot; &quot;;&quot;($&quot;#,##0)"/>
    <numFmt numFmtId="169" formatCode="0.00&quot;x&quot;"/>
    <numFmt numFmtId="170" formatCode="&quot; &quot;* #,##0&quot; &quot;;&quot; &quot;* (#,##0);&quot; &quot;* &quot;-&quot;??&quot; &quot;"/>
  </numFmts>
  <fonts count="10">
    <font>
      <sz val="10.0"/>
      <color rgb="FF000000"/>
      <name val="Arial"/>
      <scheme val="minor"/>
    </font>
    <font>
      <sz val="12.0"/>
      <color rgb="FF000000"/>
      <name val="Calibri"/>
    </font>
    <font>
      <sz val="24.0"/>
      <color rgb="FF000000"/>
      <name val="Calibri"/>
    </font>
    <font/>
    <font>
      <u/>
      <sz val="12.0"/>
      <color rgb="FF0000FF"/>
      <name val="Calibri"/>
    </font>
    <font>
      <sz val="12.0"/>
      <color theme="1"/>
      <name val="Calibri"/>
    </font>
    <font>
      <sz val="12.0"/>
      <color rgb="FF000000"/>
      <name val="Docs-Calibri"/>
    </font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F0D9"/>
        <bgColor rgb="FFE2F0D9"/>
      </patternFill>
    </fill>
    <fill>
      <patternFill patternType="solid">
        <fgColor rgb="FFC5E0B4"/>
        <bgColor rgb="FFC5E0B4"/>
      </patternFill>
    </fill>
    <fill>
      <patternFill patternType="solid">
        <fgColor rgb="FFF8F8F8"/>
        <bgColor rgb="FFF8F8F8"/>
      </patternFill>
    </fill>
  </fills>
  <borders count="57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thin">
        <color rgb="FFAAAAAA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AAAAAA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medium">
        <color rgb="FF000000"/>
      </right>
      <top/>
      <bottom style="thin">
        <color rgb="FFAAAAAA"/>
      </bottom>
    </border>
    <border>
      <left style="medium">
        <color rgb="FF000000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2" fontId="2" numFmtId="49" xfId="0" applyAlignment="1" applyBorder="1" applyFont="1" applyNumberFormat="1">
      <alignment horizontal="center" readingOrder="0" vertical="bottom"/>
    </xf>
    <xf borderId="8" fillId="0" fontId="3" numFmtId="0" xfId="0" applyBorder="1" applyFont="1"/>
    <xf borderId="9" fillId="0" fontId="3" numFmtId="0" xfId="0" applyBorder="1" applyFont="1"/>
    <xf borderId="5" fillId="2" fontId="4" numFmtId="0" xfId="0" applyAlignment="1" applyBorder="1" applyFont="1">
      <alignment readingOrder="0" vertical="bottom"/>
    </xf>
    <xf borderId="5" fillId="2" fontId="5" numFmtId="0" xfId="0" applyAlignment="1" applyBorder="1" applyFont="1">
      <alignment readingOrder="0" vertical="bottom"/>
    </xf>
    <xf borderId="10" fillId="2" fontId="1" numFmtId="49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49" xfId="0" applyAlignment="1" applyBorder="1" applyFont="1" applyNumberFormat="1">
      <alignment vertical="bottom"/>
    </xf>
    <xf borderId="13" fillId="3" fontId="1" numFmtId="164" xfId="0" applyAlignment="1" applyBorder="1" applyFill="1" applyFont="1" applyNumberFormat="1">
      <alignment readingOrder="0" vertical="bottom"/>
    </xf>
    <xf borderId="14" fillId="2" fontId="1" numFmtId="1" xfId="0" applyAlignment="1" applyBorder="1" applyFont="1" applyNumberFormat="1">
      <alignment vertical="bottom"/>
    </xf>
    <xf borderId="15" fillId="4" fontId="1" numFmtId="49" xfId="0" applyAlignment="1" applyBorder="1" applyFill="1" applyFont="1" applyNumberFormat="1">
      <alignment vertical="bottom"/>
    </xf>
    <xf borderId="16" fillId="4" fontId="1" numFmtId="1" xfId="0" applyAlignment="1" applyBorder="1" applyFont="1" applyNumberFormat="1">
      <alignment vertical="bottom"/>
    </xf>
    <xf borderId="17" fillId="5" fontId="1" numFmtId="165" xfId="0" applyAlignment="1" applyBorder="1" applyFill="1" applyFont="1" applyNumberFormat="1">
      <alignment vertical="bottom"/>
    </xf>
    <xf borderId="18" fillId="2" fontId="1" numFmtId="0" xfId="0" applyAlignment="1" applyBorder="1" applyFont="1">
      <alignment vertical="bottom"/>
    </xf>
    <xf borderId="5" fillId="2" fontId="1" numFmtId="0" xfId="0" applyAlignment="1" applyBorder="1" applyFont="1">
      <alignment readingOrder="0" vertical="bottom"/>
    </xf>
    <xf borderId="0" fillId="2" fontId="6" numFmtId="0" xfId="0" applyAlignment="1" applyFont="1">
      <alignment horizontal="left" readingOrder="0"/>
    </xf>
    <xf borderId="19" fillId="2" fontId="1" numFmtId="49" xfId="0" applyAlignment="1" applyBorder="1" applyFont="1" applyNumberFormat="1">
      <alignment vertical="bottom"/>
    </xf>
    <xf borderId="20" fillId="3" fontId="1" numFmtId="164" xfId="0" applyAlignment="1" applyBorder="1" applyFont="1" applyNumberFormat="1">
      <alignment readingOrder="0" vertical="bottom"/>
    </xf>
    <xf borderId="18" fillId="4" fontId="1" numFmtId="49" xfId="0" applyAlignment="1" applyBorder="1" applyFont="1" applyNumberFormat="1">
      <alignment vertical="bottom"/>
    </xf>
    <xf borderId="5" fillId="4" fontId="1" numFmtId="1" xfId="0" applyAlignment="1" applyBorder="1" applyFont="1" applyNumberFormat="1">
      <alignment vertical="bottom"/>
    </xf>
    <xf borderId="21" fillId="5" fontId="1" numFmtId="165" xfId="0" applyAlignment="1" applyBorder="1" applyFont="1" applyNumberFormat="1">
      <alignment vertical="bottom"/>
    </xf>
    <xf borderId="0" fillId="2" fontId="7" numFmtId="164" xfId="0" applyFont="1" applyNumberFormat="1"/>
    <xf borderId="5" fillId="2" fontId="7" numFmtId="166" xfId="0" applyAlignment="1" applyBorder="1" applyFont="1" applyNumberFormat="1">
      <alignment vertical="bottom"/>
    </xf>
    <xf borderId="20" fillId="3" fontId="1" numFmtId="9" xfId="0" applyAlignment="1" applyBorder="1" applyFont="1" applyNumberFormat="1">
      <alignment readingOrder="0" vertical="bottom"/>
    </xf>
    <xf borderId="22" fillId="4" fontId="1" numFmtId="49" xfId="0" applyAlignment="1" applyBorder="1" applyFont="1" applyNumberFormat="1">
      <alignment vertical="bottom"/>
    </xf>
    <xf borderId="10" fillId="4" fontId="1" numFmtId="1" xfId="0" applyAlignment="1" applyBorder="1" applyFont="1" applyNumberFormat="1">
      <alignment vertical="bottom"/>
    </xf>
    <xf borderId="23" fillId="5" fontId="1" numFmtId="167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24" fillId="2" fontId="1" numFmtId="49" xfId="0" applyAlignment="1" applyBorder="1" applyFont="1" applyNumberFormat="1">
      <alignment vertical="bottom"/>
    </xf>
    <xf borderId="25" fillId="3" fontId="1" numFmtId="168" xfId="0" applyAlignment="1" applyBorder="1" applyFont="1" applyNumberFormat="1">
      <alignment readingOrder="0" vertical="bottom"/>
    </xf>
    <xf borderId="17" fillId="5" fontId="1" numFmtId="9" xfId="0" applyAlignment="1" applyBorder="1" applyFont="1" applyNumberFormat="1">
      <alignment vertical="bottom"/>
    </xf>
    <xf borderId="5" fillId="2" fontId="1" numFmtId="167" xfId="0" applyAlignment="1" applyBorder="1" applyFont="1" applyNumberFormat="1">
      <alignment vertical="bottom"/>
    </xf>
    <xf borderId="16" fillId="2" fontId="1" numFmtId="0" xfId="0" applyAlignment="1" applyBorder="1" applyFont="1">
      <alignment vertical="bottom"/>
    </xf>
    <xf borderId="16" fillId="2" fontId="1" numFmtId="1" xfId="0" applyAlignment="1" applyBorder="1" applyFont="1" applyNumberFormat="1">
      <alignment vertical="bottom"/>
    </xf>
    <xf borderId="21" fillId="2" fontId="1" numFmtId="1" xfId="0" applyAlignment="1" applyBorder="1" applyFont="1" applyNumberFormat="1">
      <alignment vertical="bottom"/>
    </xf>
    <xf borderId="21" fillId="5" fontId="1" numFmtId="9" xfId="0" applyAlignment="1" applyBorder="1" applyFont="1" applyNumberFormat="1">
      <alignment vertical="bottom"/>
    </xf>
    <xf borderId="10" fillId="2" fontId="1" numFmtId="165" xfId="0" applyAlignment="1" applyBorder="1" applyFont="1" applyNumberFormat="1">
      <alignment vertical="bottom"/>
    </xf>
    <xf borderId="21" fillId="2" fontId="1" numFmtId="0" xfId="0" applyAlignment="1" applyBorder="1" applyFont="1">
      <alignment vertical="bottom"/>
    </xf>
    <xf borderId="23" fillId="5" fontId="1" numFmtId="169" xfId="0" applyAlignment="1" applyBorder="1" applyFont="1" applyNumberFormat="1">
      <alignment vertical="bottom"/>
    </xf>
    <xf borderId="20" fillId="3" fontId="1" numFmtId="164" xfId="0" applyAlignment="1" applyBorder="1" applyFont="1" applyNumberFormat="1">
      <alignment vertical="bottom"/>
    </xf>
    <xf borderId="14" fillId="2" fontId="1" numFmtId="0" xfId="0" applyAlignment="1" applyBorder="1" applyFont="1">
      <alignment vertical="bottom"/>
    </xf>
    <xf borderId="13" fillId="3" fontId="1" numFmtId="164" xfId="0" applyAlignment="1" applyBorder="1" applyFont="1" applyNumberFormat="1">
      <alignment vertical="bottom"/>
    </xf>
    <xf borderId="18" fillId="2" fontId="1" numFmtId="49" xfId="0" applyAlignment="1" applyBorder="1" applyFont="1" applyNumberFormat="1">
      <alignment vertical="bottom"/>
    </xf>
    <xf borderId="26" fillId="2" fontId="1" numFmtId="49" xfId="0" applyAlignment="1" applyBorder="1" applyFont="1" applyNumberFormat="1">
      <alignment vertical="bottom"/>
    </xf>
    <xf borderId="27" fillId="3" fontId="1" numFmtId="164" xfId="0" applyAlignment="1" applyBorder="1" applyFont="1" applyNumberFormat="1">
      <alignment readingOrder="0" vertical="bottom"/>
    </xf>
    <xf borderId="28" fillId="2" fontId="1" numFmtId="49" xfId="0" applyAlignment="1" applyBorder="1" applyFont="1" applyNumberFormat="1">
      <alignment vertical="bottom"/>
    </xf>
    <xf borderId="29" fillId="2" fontId="1" numFmtId="165" xfId="0" applyAlignment="1" applyBorder="1" applyFont="1" applyNumberFormat="1">
      <alignment vertical="bottom"/>
    </xf>
    <xf borderId="19" fillId="2" fontId="1" numFmtId="0" xfId="0" applyAlignment="1" applyBorder="1" applyFont="1">
      <alignment vertical="bottom"/>
    </xf>
    <xf borderId="16" fillId="2" fontId="1" numFmtId="165" xfId="0" applyAlignment="1" applyBorder="1" applyFont="1" applyNumberFormat="1">
      <alignment vertical="bottom"/>
    </xf>
    <xf borderId="26" fillId="2" fontId="1" numFmtId="0" xfId="0" applyAlignment="1" applyBorder="1" applyFont="1">
      <alignment vertical="bottom"/>
    </xf>
    <xf borderId="27" fillId="3" fontId="1" numFmtId="164" xfId="0" applyAlignment="1" applyBorder="1" applyFont="1" applyNumberFormat="1">
      <alignment vertical="bottom"/>
    </xf>
    <xf borderId="13" fillId="3" fontId="1" numFmtId="9" xfId="0" applyAlignment="1" applyBorder="1" applyFont="1" applyNumberFormat="1">
      <alignment readingOrder="0" vertical="bottom"/>
    </xf>
    <xf borderId="25" fillId="3" fontId="1" numFmtId="164" xfId="0" applyAlignment="1" applyBorder="1" applyFont="1" applyNumberFormat="1">
      <alignment readingOrder="0" vertical="bottom"/>
    </xf>
    <xf borderId="16" fillId="2" fontId="1" numFmtId="168" xfId="0" applyAlignment="1" applyBorder="1" applyFont="1" applyNumberFormat="1">
      <alignment vertical="bottom"/>
    </xf>
    <xf borderId="5" fillId="2" fontId="1" numFmtId="1" xfId="0" applyAlignment="1" applyBorder="1" applyFont="1" applyNumberFormat="1">
      <alignment vertical="bottom"/>
    </xf>
    <xf borderId="23" fillId="2" fontId="1" numFmtId="49" xfId="0" applyAlignment="1" applyBorder="1" applyFont="1" applyNumberFormat="1">
      <alignment vertical="bottom"/>
    </xf>
    <xf borderId="30" fillId="2" fontId="1" numFmtId="49" xfId="0" applyAlignment="1" applyBorder="1" applyFont="1" applyNumberFormat="1">
      <alignment horizontal="right" vertical="bottom"/>
    </xf>
    <xf borderId="31" fillId="2" fontId="1" numFmtId="49" xfId="0" applyAlignment="1" applyBorder="1" applyFont="1" applyNumberFormat="1">
      <alignment horizontal="right" vertical="bottom"/>
    </xf>
    <xf borderId="32" fillId="2" fontId="1" numFmtId="49" xfId="0" applyAlignment="1" applyBorder="1" applyFont="1" applyNumberFormat="1">
      <alignment horizontal="right" vertical="bottom"/>
    </xf>
    <xf borderId="33" fillId="2" fontId="1" numFmtId="0" xfId="0" applyAlignment="1" applyBorder="1" applyFont="1">
      <alignment vertical="bottom"/>
    </xf>
    <xf borderId="34" fillId="2" fontId="1" numFmtId="49" xfId="0" applyAlignment="1" applyBorder="1" applyFont="1" applyNumberFormat="1">
      <alignment vertical="bottom"/>
    </xf>
    <xf borderId="15" fillId="2" fontId="1" numFmtId="1" xfId="0" applyAlignment="1" applyBorder="1" applyFont="1" applyNumberFormat="1">
      <alignment horizontal="right" readingOrder="0" vertical="bottom"/>
    </xf>
    <xf borderId="16" fillId="2" fontId="1" numFmtId="1" xfId="0" applyAlignment="1" applyBorder="1" applyFont="1" applyNumberFormat="1">
      <alignment horizontal="right" readingOrder="0" vertical="bottom"/>
    </xf>
    <xf borderId="16" fillId="2" fontId="1" numFmtId="1" xfId="0" applyAlignment="1" applyBorder="1" applyFont="1" applyNumberFormat="1">
      <alignment horizontal="right" vertical="bottom"/>
    </xf>
    <xf borderId="17" fillId="2" fontId="1" numFmtId="1" xfId="0" applyAlignment="1" applyBorder="1" applyFont="1" applyNumberFormat="1">
      <alignment horizontal="right" readingOrder="0" vertical="bottom"/>
    </xf>
    <xf borderId="33" fillId="2" fontId="1" numFmtId="1" xfId="0" applyAlignment="1" applyBorder="1" applyFont="1" applyNumberFormat="1">
      <alignment horizontal="right" vertical="bottom"/>
    </xf>
    <xf borderId="14" fillId="3" fontId="1" numFmtId="49" xfId="0" applyAlignment="1" applyBorder="1" applyFont="1" applyNumberFormat="1">
      <alignment vertical="bottom"/>
    </xf>
    <xf borderId="18" fillId="3" fontId="1" numFmtId="165" xfId="0" applyAlignment="1" applyBorder="1" applyFont="1" applyNumberFormat="1">
      <alignment horizontal="right" readingOrder="0" vertical="bottom"/>
    </xf>
    <xf borderId="18" fillId="3" fontId="1" numFmtId="9" xfId="0" applyAlignment="1" applyBorder="1" applyFont="1" applyNumberFormat="1">
      <alignment horizontal="right" readingOrder="0" vertical="bottom"/>
    </xf>
    <xf borderId="0" fillId="3" fontId="6" numFmtId="9" xfId="0" applyAlignment="1" applyFont="1" applyNumberFormat="1">
      <alignment horizontal="right" readingOrder="0"/>
    </xf>
    <xf borderId="35" fillId="3" fontId="1" numFmtId="49" xfId="0" applyAlignment="1" applyBorder="1" applyFont="1" applyNumberFormat="1">
      <alignment vertical="bottom"/>
    </xf>
    <xf borderId="22" fillId="3" fontId="1" numFmtId="1" xfId="0" applyAlignment="1" applyBorder="1" applyFont="1" applyNumberFormat="1">
      <alignment horizontal="right" readingOrder="0" vertical="bottom"/>
    </xf>
    <xf borderId="10" fillId="3" fontId="1" numFmtId="1" xfId="0" applyAlignment="1" applyBorder="1" applyFont="1" applyNumberFormat="1">
      <alignment horizontal="right" readingOrder="0" vertical="bottom"/>
    </xf>
    <xf borderId="23" fillId="3" fontId="1" numFmtId="1" xfId="0" applyAlignment="1" applyBorder="1" applyFont="1" applyNumberFormat="1">
      <alignment horizontal="right" readingOrder="0" vertical="bottom"/>
    </xf>
    <xf borderId="36" fillId="2" fontId="1" numFmtId="1" xfId="0" applyAlignment="1" applyBorder="1" applyFont="1" applyNumberFormat="1">
      <alignment horizontal="right" vertical="bottom"/>
    </xf>
    <xf borderId="32" fillId="2" fontId="1" numFmtId="1" xfId="0" applyAlignment="1" applyBorder="1" applyFont="1" applyNumberFormat="1">
      <alignment vertical="bottom"/>
    </xf>
    <xf borderId="37" fillId="2" fontId="1" numFmtId="49" xfId="0" applyAlignment="1" applyBorder="1" applyFont="1" applyNumberFormat="1">
      <alignment horizontal="right" vertical="bottom"/>
    </xf>
    <xf borderId="15" fillId="2" fontId="1" numFmtId="165" xfId="0" applyAlignment="1" applyBorder="1" applyFont="1" applyNumberFormat="1">
      <alignment horizontal="right" vertical="bottom"/>
    </xf>
    <xf borderId="16" fillId="2" fontId="1" numFmtId="165" xfId="0" applyAlignment="1" applyBorder="1" applyFont="1" applyNumberFormat="1">
      <alignment horizontal="right" vertical="bottom"/>
    </xf>
    <xf borderId="17" fillId="2" fontId="1" numFmtId="165" xfId="0" applyAlignment="1" applyBorder="1" applyFont="1" applyNumberFormat="1">
      <alignment horizontal="right" vertical="bottom"/>
    </xf>
    <xf borderId="34" fillId="2" fontId="1" numFmtId="165" xfId="0" applyAlignment="1" applyBorder="1" applyFont="1" applyNumberFormat="1">
      <alignment horizontal="right" vertical="bottom"/>
    </xf>
    <xf borderId="38" fillId="2" fontId="1" numFmtId="49" xfId="0" applyAlignment="1" applyBorder="1" applyFont="1" applyNumberFormat="1">
      <alignment vertical="bottom"/>
    </xf>
    <xf borderId="39" fillId="2" fontId="1" numFmtId="165" xfId="0" applyAlignment="1" applyBorder="1" applyFont="1" applyNumberFormat="1">
      <alignment horizontal="right" vertical="bottom"/>
    </xf>
    <xf borderId="40" fillId="2" fontId="1" numFmtId="165" xfId="0" applyAlignment="1" applyBorder="1" applyFont="1" applyNumberFormat="1">
      <alignment horizontal="right" vertical="bottom"/>
    </xf>
    <xf borderId="41" fillId="2" fontId="1" numFmtId="165" xfId="0" applyAlignment="1" applyBorder="1" applyFont="1" applyNumberFormat="1">
      <alignment horizontal="right" vertical="bottom"/>
    </xf>
    <xf borderId="38" fillId="2" fontId="1" numFmtId="165" xfId="0" applyAlignment="1" applyBorder="1" applyFont="1" applyNumberFormat="1">
      <alignment horizontal="right" vertical="bottom"/>
    </xf>
    <xf borderId="42" fillId="2" fontId="1" numFmtId="49" xfId="0" applyAlignment="1" applyBorder="1" applyFont="1" applyNumberFormat="1">
      <alignment vertical="bottom"/>
    </xf>
    <xf borderId="43" fillId="2" fontId="1" numFmtId="165" xfId="0" applyAlignment="1" applyBorder="1" applyFont="1" applyNumberFormat="1">
      <alignment horizontal="right" vertical="bottom"/>
    </xf>
    <xf borderId="44" fillId="2" fontId="1" numFmtId="165" xfId="0" applyAlignment="1" applyBorder="1" applyFont="1" applyNumberFormat="1">
      <alignment horizontal="right" vertical="bottom"/>
    </xf>
    <xf borderId="45" fillId="2" fontId="1" numFmtId="165" xfId="0" applyAlignment="1" applyBorder="1" applyFont="1" applyNumberFormat="1">
      <alignment horizontal="right" vertical="bottom"/>
    </xf>
    <xf borderId="42" fillId="2" fontId="1" numFmtId="165" xfId="0" applyAlignment="1" applyBorder="1" applyFont="1" applyNumberFormat="1">
      <alignment horizontal="right" vertical="bottom"/>
    </xf>
    <xf borderId="18" fillId="2" fontId="1" numFmtId="165" xfId="0" applyAlignment="1" applyBorder="1" applyFont="1" applyNumberFormat="1">
      <alignment horizontal="right" vertical="bottom"/>
    </xf>
    <xf borderId="5" fillId="2" fontId="1" numFmtId="165" xfId="0" applyAlignment="1" applyBorder="1" applyFont="1" applyNumberFormat="1">
      <alignment horizontal="right" vertical="bottom"/>
    </xf>
    <xf borderId="21" fillId="2" fontId="1" numFmtId="165" xfId="0" applyAlignment="1" applyBorder="1" applyFont="1" applyNumberFormat="1">
      <alignment horizontal="right" vertical="bottom"/>
    </xf>
    <xf borderId="14" fillId="2" fontId="1" numFmtId="1" xfId="0" applyAlignment="1" applyBorder="1" applyFont="1" applyNumberFormat="1">
      <alignment horizontal="right" vertical="bottom"/>
    </xf>
    <xf borderId="14" fillId="2" fontId="1" numFmtId="49" xfId="0" applyAlignment="1" applyBorder="1" applyFont="1" applyNumberFormat="1">
      <alignment vertical="bottom"/>
    </xf>
    <xf borderId="18" fillId="2" fontId="1" numFmtId="168" xfId="0" applyAlignment="1" applyBorder="1" applyFont="1" applyNumberFormat="1">
      <alignment horizontal="right" vertical="bottom"/>
    </xf>
    <xf borderId="5" fillId="2" fontId="1" numFmtId="168" xfId="0" applyAlignment="1" applyBorder="1" applyFont="1" applyNumberFormat="1">
      <alignment horizontal="right" vertical="bottom"/>
    </xf>
    <xf borderId="21" fillId="2" fontId="1" numFmtId="168" xfId="0" applyAlignment="1" applyBorder="1" applyFont="1" applyNumberFormat="1">
      <alignment horizontal="right" vertical="bottom"/>
    </xf>
    <xf borderId="14" fillId="2" fontId="1" numFmtId="168" xfId="0" applyAlignment="1" applyBorder="1" applyFont="1" applyNumberFormat="1">
      <alignment horizontal="right" vertical="bottom"/>
    </xf>
    <xf borderId="14" fillId="2" fontId="1" numFmtId="165" xfId="0" applyAlignment="1" applyBorder="1" applyFont="1" applyNumberFormat="1">
      <alignment horizontal="right" vertical="bottom"/>
    </xf>
    <xf borderId="43" fillId="2" fontId="1" numFmtId="168" xfId="0" applyAlignment="1" applyBorder="1" applyFont="1" applyNumberFormat="1">
      <alignment horizontal="right" vertical="bottom"/>
    </xf>
    <xf borderId="44" fillId="2" fontId="1" numFmtId="168" xfId="0" applyAlignment="1" applyBorder="1" applyFont="1" applyNumberFormat="1">
      <alignment horizontal="right" vertical="bottom"/>
    </xf>
    <xf borderId="45" fillId="2" fontId="1" numFmtId="168" xfId="0" applyAlignment="1" applyBorder="1" applyFont="1" applyNumberFormat="1">
      <alignment horizontal="right" vertical="bottom"/>
    </xf>
    <xf borderId="18" fillId="2" fontId="1" numFmtId="1" xfId="0" applyAlignment="1" applyBorder="1" applyFont="1" applyNumberFormat="1">
      <alignment horizontal="right" vertical="bottom"/>
    </xf>
    <xf borderId="5" fillId="2" fontId="1" numFmtId="1" xfId="0" applyAlignment="1" applyBorder="1" applyFont="1" applyNumberFormat="1">
      <alignment horizontal="right" vertical="bottom"/>
    </xf>
    <xf borderId="21" fillId="2" fontId="1" numFmtId="1" xfId="0" applyAlignment="1" applyBorder="1" applyFont="1" applyNumberFormat="1">
      <alignment horizontal="right" vertical="bottom"/>
    </xf>
    <xf borderId="46" fillId="2" fontId="1" numFmtId="49" xfId="0" applyAlignment="1" applyBorder="1" applyFont="1" applyNumberFormat="1">
      <alignment vertical="bottom"/>
    </xf>
    <xf borderId="47" fillId="2" fontId="1" numFmtId="165" xfId="0" applyAlignment="1" applyBorder="1" applyFont="1" applyNumberFormat="1">
      <alignment horizontal="right" vertical="bottom"/>
    </xf>
    <xf borderId="48" fillId="2" fontId="1" numFmtId="165" xfId="0" applyAlignment="1" applyBorder="1" applyFont="1" applyNumberFormat="1">
      <alignment horizontal="right" vertical="bottom"/>
    </xf>
    <xf borderId="49" fillId="2" fontId="1" numFmtId="165" xfId="0" applyAlignment="1" applyBorder="1" applyFont="1" applyNumberFormat="1">
      <alignment horizontal="right" vertical="bottom"/>
    </xf>
    <xf borderId="46" fillId="2" fontId="1" numFmtId="165" xfId="0" applyAlignment="1" applyBorder="1" applyFont="1" applyNumberFormat="1">
      <alignment horizontal="right" vertical="bottom"/>
    </xf>
    <xf borderId="31" fillId="2" fontId="1" numFmtId="0" xfId="0" applyAlignment="1" applyBorder="1" applyFont="1">
      <alignment vertical="bottom"/>
    </xf>
    <xf borderId="50" fillId="2" fontId="1" numFmtId="0" xfId="0" applyAlignment="1" applyBorder="1" applyFont="1">
      <alignment vertical="bottom"/>
    </xf>
    <xf borderId="37" fillId="6" fontId="1" numFmtId="49" xfId="0" applyAlignment="1" applyBorder="1" applyFill="1" applyFont="1" applyNumberFormat="1">
      <alignment vertical="bottom"/>
    </xf>
    <xf borderId="30" fillId="6" fontId="1" numFmtId="165" xfId="0" applyAlignment="1" applyBorder="1" applyFont="1" applyNumberFormat="1">
      <alignment vertical="bottom"/>
    </xf>
    <xf borderId="31" fillId="6" fontId="1" numFmtId="165" xfId="0" applyAlignment="1" applyBorder="1" applyFont="1" applyNumberFormat="1">
      <alignment vertical="bottom"/>
    </xf>
    <xf borderId="32" fillId="6" fontId="1" numFmtId="165" xfId="0" applyAlignment="1" applyBorder="1" applyFont="1" applyNumberFormat="1">
      <alignment vertical="bottom"/>
    </xf>
    <xf borderId="37" fillId="6" fontId="1" numFmtId="165" xfId="0" applyAlignment="1" applyBorder="1" applyFont="1" applyNumberFormat="1">
      <alignment vertical="bottom"/>
    </xf>
    <xf borderId="51" fillId="2" fontId="1" numFmtId="165" xfId="0" applyAlignment="1" applyBorder="1" applyFont="1" applyNumberFormat="1">
      <alignment vertical="bottom"/>
    </xf>
    <xf borderId="5" fillId="2" fontId="1" numFmtId="165" xfId="0" applyAlignment="1" applyBorder="1" applyFont="1" applyNumberFormat="1">
      <alignment vertical="bottom"/>
    </xf>
    <xf borderId="30" fillId="2" fontId="1" numFmtId="49" xfId="0" applyAlignment="1" applyBorder="1" applyFont="1" applyNumberFormat="1">
      <alignment vertical="bottom"/>
    </xf>
    <xf borderId="31" fillId="2" fontId="1" numFmtId="1" xfId="0" applyAlignment="1" applyBorder="1" applyFont="1" applyNumberFormat="1">
      <alignment vertical="bottom"/>
    </xf>
    <xf borderId="22" fillId="2" fontId="1" numFmtId="0" xfId="0" applyAlignment="1" applyBorder="1" applyFont="1">
      <alignment vertical="bottom"/>
    </xf>
    <xf borderId="15" fillId="2" fontId="1" numFmtId="1" xfId="0" applyAlignment="1" applyBorder="1" applyFont="1" applyNumberFormat="1">
      <alignment vertical="bottom"/>
    </xf>
    <xf borderId="16" fillId="2" fontId="1" numFmtId="170" xfId="0" applyAlignment="1" applyBorder="1" applyFont="1" applyNumberFormat="1">
      <alignment vertical="bottom"/>
    </xf>
    <xf borderId="17" fillId="2" fontId="1" numFmtId="170" xfId="0" applyAlignment="1" applyBorder="1" applyFont="1" applyNumberFormat="1">
      <alignment vertical="bottom"/>
    </xf>
    <xf borderId="52" fillId="2" fontId="1" numFmtId="0" xfId="0" applyAlignment="1" applyBorder="1" applyFont="1">
      <alignment vertical="bottom"/>
    </xf>
    <xf borderId="53" fillId="2" fontId="1" numFmtId="0" xfId="0" applyAlignment="1" applyBorder="1" applyFont="1">
      <alignment vertical="bottom"/>
    </xf>
    <xf borderId="22" fillId="2" fontId="1" numFmtId="165" xfId="0" applyAlignment="1" applyBorder="1" applyFont="1" applyNumberFormat="1">
      <alignment vertical="bottom"/>
    </xf>
    <xf borderId="23" fillId="2" fontId="1" numFmtId="165" xfId="0" applyAlignment="1" applyBorder="1" applyFont="1" applyNumberFormat="1">
      <alignment vertical="bottom"/>
    </xf>
    <xf borderId="54" fillId="2" fontId="1" numFmtId="0" xfId="0" applyAlignment="1" applyBorder="1" applyFont="1">
      <alignment vertical="bottom"/>
    </xf>
    <xf borderId="55" fillId="2" fontId="1" numFmtId="0" xfId="0" applyAlignment="1" applyBorder="1" applyFont="1">
      <alignment vertical="bottom"/>
    </xf>
    <xf borderId="56" fillId="2" fontId="1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0" fillId="7" fontId="9" numFmtId="0" xfId="0" applyAlignment="1" applyFill="1" applyFont="1">
      <alignment horizontal="left" readingOrder="0"/>
    </xf>
    <xf borderId="7" fillId="2" fontId="2" numFmtId="49" xfId="0" applyAlignment="1" applyBorder="1" applyFont="1" applyNumberFormat="1">
      <alignment horizontal="center" vertical="bottom"/>
    </xf>
    <xf borderId="20" fillId="3" fontId="1" numFmtId="9" xfId="0" applyAlignment="1" applyBorder="1" applyFont="1" applyNumberFormat="1">
      <alignment vertical="bottom"/>
    </xf>
    <xf borderId="25" fillId="3" fontId="1" numFmtId="168" xfId="0" applyAlignment="1" applyBorder="1" applyFont="1" applyNumberFormat="1">
      <alignment vertical="bottom"/>
    </xf>
    <xf borderId="13" fillId="3" fontId="1" numFmtId="9" xfId="0" applyAlignment="1" applyBorder="1" applyFont="1" applyNumberFormat="1">
      <alignment vertical="bottom"/>
    </xf>
    <xf borderId="25" fillId="3" fontId="1" numFmtId="164" xfId="0" applyAlignment="1" applyBorder="1" applyFont="1" applyNumberFormat="1">
      <alignment vertical="bottom"/>
    </xf>
    <xf borderId="15" fillId="2" fontId="1" numFmtId="1" xfId="0" applyAlignment="1" applyBorder="1" applyFont="1" applyNumberFormat="1">
      <alignment horizontal="right" vertical="bottom"/>
    </xf>
    <xf borderId="17" fillId="2" fontId="1" numFmtId="1" xfId="0" applyAlignment="1" applyBorder="1" applyFont="1" applyNumberFormat="1">
      <alignment horizontal="right" vertical="bottom"/>
    </xf>
    <xf borderId="18" fillId="3" fontId="1" numFmtId="165" xfId="0" applyAlignment="1" applyBorder="1" applyFont="1" applyNumberFormat="1">
      <alignment horizontal="right" vertical="bottom"/>
    </xf>
    <xf borderId="5" fillId="3" fontId="1" numFmtId="165" xfId="0" applyAlignment="1" applyBorder="1" applyFont="1" applyNumberFormat="1">
      <alignment horizontal="right" vertical="bottom"/>
    </xf>
    <xf borderId="21" fillId="3" fontId="1" numFmtId="165" xfId="0" applyAlignment="1" applyBorder="1" applyFont="1" applyNumberFormat="1">
      <alignment horizontal="right" vertical="bottom"/>
    </xf>
    <xf borderId="18" fillId="3" fontId="1" numFmtId="9" xfId="0" applyAlignment="1" applyBorder="1" applyFont="1" applyNumberFormat="1">
      <alignment horizontal="right" vertical="bottom"/>
    </xf>
    <xf borderId="5" fillId="3" fontId="1" numFmtId="9" xfId="0" applyAlignment="1" applyBorder="1" applyFont="1" applyNumberFormat="1">
      <alignment horizontal="right" vertical="bottom"/>
    </xf>
    <xf borderId="21" fillId="3" fontId="1" numFmtId="9" xfId="0" applyAlignment="1" applyBorder="1" applyFont="1" applyNumberFormat="1">
      <alignment horizontal="right" vertical="bottom"/>
    </xf>
    <xf borderId="22" fillId="3" fontId="1" numFmtId="1" xfId="0" applyAlignment="1" applyBorder="1" applyFont="1" applyNumberFormat="1">
      <alignment horizontal="right" vertical="bottom"/>
    </xf>
    <xf borderId="10" fillId="3" fontId="1" numFmtId="1" xfId="0" applyAlignment="1" applyBorder="1" applyFont="1" applyNumberFormat="1">
      <alignment horizontal="right" vertical="bottom"/>
    </xf>
    <xf borderId="23" fillId="3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82CE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redfin.com/CA/Berkeley/2701-Grant-St-94703/home/1988003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redfin.com/CA/Berkeley/2319-Ward-St-94705/home/1534530" TargetMode="External"/><Relationship Id="rId3" Type="http://schemas.openxmlformats.org/officeDocument/2006/relationships/hyperlink" Target="https://www.compass.com/homedetails/2319-Ward-St-Berkeley-CA-94705/1QQOIS_pid/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35.88"/>
    <col customWidth="1" min="3" max="3" width="17.38"/>
    <col customWidth="1" min="4" max="4" width="14.63"/>
    <col customWidth="1" min="5" max="5" width="15.38"/>
    <col customWidth="1" min="6" max="6" width="14.63"/>
    <col customWidth="1" min="7" max="7" width="14.25"/>
    <col customWidth="1" min="8" max="8" width="15.38"/>
    <col customWidth="1" min="9" max="10" width="15.75"/>
    <col customWidth="1" min="11" max="11" width="15.0"/>
    <col customWidth="1" min="12" max="12" width="14.25"/>
    <col customWidth="1" min="13" max="13" width="14.63"/>
    <col customWidth="1" min="14" max="14" width="13.88"/>
    <col customWidth="1" min="15" max="15" width="17.88"/>
    <col customWidth="1" min="16" max="26" width="12.1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/>
      <c r="B3" s="6"/>
      <c r="C3" s="8" t="s"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/>
      <c r="B4" s="6"/>
      <c r="C4" s="6"/>
      <c r="D4" s="6"/>
      <c r="E4" s="6"/>
      <c r="F4" s="6"/>
      <c r="G4" s="6"/>
      <c r="H4" s="11" t="s">
        <v>1</v>
      </c>
      <c r="I4" s="12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/>
      <c r="B5" s="13" t="s">
        <v>2</v>
      </c>
      <c r="C5" s="14"/>
      <c r="D5" s="6"/>
      <c r="E5" s="13" t="s">
        <v>3</v>
      </c>
      <c r="F5" s="14"/>
      <c r="G5" s="14"/>
      <c r="H5" s="6"/>
      <c r="I5" s="6"/>
      <c r="J5" s="6"/>
      <c r="K5" s="6"/>
      <c r="L5" s="6"/>
      <c r="M5" s="6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 t="s">
        <v>4</v>
      </c>
      <c r="C6" s="17">
        <v>1100000.0</v>
      </c>
      <c r="D6" s="18"/>
      <c r="E6" s="19" t="s">
        <v>5</v>
      </c>
      <c r="F6" s="20"/>
      <c r="G6" s="21">
        <f>SUM(C7:C8)</f>
        <v>101251</v>
      </c>
      <c r="H6" s="22"/>
      <c r="I6" s="23" t="s">
        <v>6</v>
      </c>
      <c r="J6" s="24" t="s">
        <v>7</v>
      </c>
      <c r="K6" s="23" t="s">
        <v>8</v>
      </c>
      <c r="L6" s="6"/>
      <c r="M6" s="6"/>
      <c r="N6" s="6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/>
      <c r="B7" s="25" t="s">
        <v>9</v>
      </c>
      <c r="C7" s="26">
        <v>101250.0</v>
      </c>
      <c r="D7" s="18"/>
      <c r="E7" s="27" t="s">
        <v>10</v>
      </c>
      <c r="F7" s="28"/>
      <c r="G7" s="29">
        <f>SUM(C55:N55)</f>
        <v>-26720</v>
      </c>
      <c r="H7" s="22"/>
      <c r="I7" s="23" t="s">
        <v>11</v>
      </c>
      <c r="J7" s="30">
        <f>C36*11</f>
        <v>66000</v>
      </c>
      <c r="K7" s="30">
        <f>C36*11</f>
        <v>66000</v>
      </c>
      <c r="L7" s="30"/>
      <c r="M7" s="6"/>
      <c r="N7" s="6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5"/>
      <c r="B8" s="25" t="s">
        <v>12</v>
      </c>
      <c r="C8" s="26">
        <v>1.0</v>
      </c>
      <c r="D8" s="18"/>
      <c r="E8" s="27" t="s">
        <v>13</v>
      </c>
      <c r="F8" s="28"/>
      <c r="G8" s="29">
        <f>G7*(1-C9)-F23</f>
        <v>-35048</v>
      </c>
      <c r="H8" s="22"/>
      <c r="I8" s="23" t="s">
        <v>14</v>
      </c>
      <c r="J8" s="31">
        <f>(SUM(C16,C17,C19)*12)+F23</f>
        <v>11036</v>
      </c>
      <c r="K8" s="31">
        <f>SUM(C16,C17,C19)*12</f>
        <v>36</v>
      </c>
      <c r="L8" s="31"/>
      <c r="M8" s="6"/>
      <c r="N8" s="6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/>
      <c r="B9" s="25" t="s">
        <v>15</v>
      </c>
      <c r="C9" s="32">
        <v>0.1</v>
      </c>
      <c r="D9" s="18"/>
      <c r="E9" s="33" t="s">
        <v>16</v>
      </c>
      <c r="F9" s="34"/>
      <c r="G9" s="35">
        <f>G6/G7</f>
        <v>-3.789333832</v>
      </c>
      <c r="H9" s="22"/>
      <c r="I9" s="23" t="s">
        <v>17</v>
      </c>
      <c r="J9" s="36">
        <f>C20*12+F23</f>
        <v>107524</v>
      </c>
      <c r="K9" s="36">
        <f>SUM(C13,C14,C15,C18)*12</f>
        <v>98684</v>
      </c>
      <c r="L9" s="36"/>
      <c r="M9" s="6"/>
      <c r="N9" s="6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5"/>
      <c r="B10" s="37" t="s">
        <v>18</v>
      </c>
      <c r="C10" s="38">
        <v>60000.0</v>
      </c>
      <c r="D10" s="18"/>
      <c r="E10" s="19" t="s">
        <v>19</v>
      </c>
      <c r="F10" s="20"/>
      <c r="G10" s="39">
        <f>G7/G6</f>
        <v>-0.2638986282</v>
      </c>
      <c r="H10" s="22"/>
      <c r="I10" s="23" t="s">
        <v>20</v>
      </c>
      <c r="J10" s="40">
        <f t="shared" ref="J10:K10" si="1">(J7-J8)/J9</f>
        <v>0.5111788996</v>
      </c>
      <c r="K10" s="40">
        <f t="shared" si="1"/>
        <v>0.668436626</v>
      </c>
      <c r="L10" s="40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/>
      <c r="B11" s="41"/>
      <c r="C11" s="42"/>
      <c r="D11" s="43"/>
      <c r="E11" s="27" t="s">
        <v>21</v>
      </c>
      <c r="F11" s="28"/>
      <c r="G11" s="44" t="str">
        <f>IRR(C60:H60)</f>
        <v>#NUM!</v>
      </c>
      <c r="H11" s="22"/>
      <c r="I11" s="6"/>
      <c r="J11" s="6"/>
      <c r="K11" s="6"/>
      <c r="L11" s="6"/>
      <c r="M11" s="6"/>
      <c r="N11" s="6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/>
      <c r="B12" s="13" t="s">
        <v>22</v>
      </c>
      <c r="C12" s="45"/>
      <c r="D12" s="46"/>
      <c r="E12" s="33" t="s">
        <v>23</v>
      </c>
      <c r="F12" s="34"/>
      <c r="G12" s="47">
        <f>SUM(C10,D60:H60)/G6</f>
        <v>-0.5949570868</v>
      </c>
      <c r="H12" s="22"/>
      <c r="I12" s="6"/>
      <c r="J12" s="6"/>
      <c r="K12" s="6"/>
      <c r="L12" s="6"/>
      <c r="M12" s="6"/>
      <c r="N12" s="6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5"/>
      <c r="B13" s="16" t="s">
        <v>24</v>
      </c>
      <c r="C13" s="17">
        <v>6232.0</v>
      </c>
      <c r="D13" s="22"/>
      <c r="E13" s="41"/>
      <c r="F13" s="41"/>
      <c r="G13" s="41"/>
      <c r="H13" s="6"/>
      <c r="I13" s="6"/>
      <c r="J13" s="6"/>
      <c r="K13" s="6"/>
      <c r="L13" s="6"/>
      <c r="M13" s="6"/>
      <c r="N13" s="6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5"/>
      <c r="B14" s="25" t="s">
        <v>25</v>
      </c>
      <c r="C14" s="48">
        <f>(C6*0.0125)/12</f>
        <v>1145.833333</v>
      </c>
      <c r="D14" s="22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5"/>
      <c r="B15" s="25" t="s">
        <v>26</v>
      </c>
      <c r="C15" s="48">
        <f>((C6-C7)*0.008)/12</f>
        <v>665.8333333</v>
      </c>
      <c r="D15" s="22"/>
      <c r="E15" s="13" t="s">
        <v>27</v>
      </c>
      <c r="F15" s="45"/>
      <c r="G15" s="6"/>
      <c r="H15" s="6"/>
      <c r="I15" s="6"/>
      <c r="J15" s="6"/>
      <c r="K15" s="6"/>
      <c r="L15" s="6"/>
      <c r="M15" s="6"/>
      <c r="N15" s="6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/>
      <c r="B16" s="25" t="s">
        <v>28</v>
      </c>
      <c r="C16" s="26">
        <v>1.0</v>
      </c>
      <c r="D16" s="49"/>
      <c r="E16" s="16" t="s">
        <v>29</v>
      </c>
      <c r="F16" s="50">
        <f>(C6/100*1)</f>
        <v>11000</v>
      </c>
      <c r="G16" s="22"/>
      <c r="H16" s="6"/>
      <c r="I16" s="6"/>
      <c r="J16" s="6"/>
      <c r="K16" s="6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/>
      <c r="B17" s="25" t="s">
        <v>30</v>
      </c>
      <c r="C17" s="26">
        <v>1.0</v>
      </c>
      <c r="D17" s="49"/>
      <c r="E17" s="25" t="s">
        <v>31</v>
      </c>
      <c r="F17" s="26">
        <v>0.0</v>
      </c>
      <c r="G17" s="22"/>
      <c r="H17" s="6"/>
      <c r="I17" s="6"/>
      <c r="J17" s="6"/>
      <c r="K17" s="6"/>
      <c r="L17" s="6"/>
      <c r="M17" s="6"/>
      <c r="N17" s="6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5"/>
      <c r="B18" s="25" t="s">
        <v>32</v>
      </c>
      <c r="C18" s="26">
        <v>180.0</v>
      </c>
      <c r="D18" s="49"/>
      <c r="E18" s="25" t="s">
        <v>33</v>
      </c>
      <c r="F18" s="26">
        <v>0.0</v>
      </c>
      <c r="G18" s="51" t="s">
        <v>34</v>
      </c>
      <c r="H18" s="6"/>
      <c r="I18" s="6"/>
      <c r="J18" s="6"/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5"/>
      <c r="B19" s="52" t="s">
        <v>35</v>
      </c>
      <c r="C19" s="53">
        <v>1.0</v>
      </c>
      <c r="D19" s="49"/>
      <c r="E19" s="25" t="s">
        <v>36</v>
      </c>
      <c r="F19" s="26">
        <v>0.0</v>
      </c>
      <c r="G19" s="22"/>
      <c r="H19" s="6"/>
      <c r="I19" s="6"/>
      <c r="J19" s="6"/>
      <c r="K19" s="6"/>
      <c r="L19" s="6"/>
      <c r="M19" s="6"/>
      <c r="N19" s="6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54" t="s">
        <v>37</v>
      </c>
      <c r="C20" s="55">
        <f>SUM(C13:C15)</f>
        <v>8043.666667</v>
      </c>
      <c r="D20" s="49"/>
      <c r="E20" s="56"/>
      <c r="F20" s="48"/>
      <c r="G20" s="22"/>
      <c r="H20" s="6"/>
      <c r="I20" s="6"/>
      <c r="J20" s="6"/>
      <c r="K20" s="6"/>
      <c r="L20" s="6"/>
      <c r="M20" s="6"/>
      <c r="N20" s="6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"/>
      <c r="B21" s="42"/>
      <c r="C21" s="57"/>
      <c r="D21" s="46"/>
      <c r="E21" s="56"/>
      <c r="F21" s="48"/>
      <c r="G21" s="22"/>
      <c r="H21" s="6"/>
      <c r="I21" s="6"/>
      <c r="J21" s="6"/>
      <c r="K21" s="6"/>
      <c r="L21" s="6"/>
      <c r="M21" s="6"/>
      <c r="N21" s="6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"/>
      <c r="B22" s="13" t="s">
        <v>38</v>
      </c>
      <c r="C22" s="45"/>
      <c r="D22" s="46"/>
      <c r="E22" s="58"/>
      <c r="F22" s="59"/>
      <c r="G22" s="22"/>
      <c r="H22" s="6"/>
      <c r="I22" s="6"/>
      <c r="J22" s="6"/>
      <c r="K22" s="6"/>
      <c r="L22" s="6"/>
      <c r="M22" s="6"/>
      <c r="N22" s="6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5"/>
      <c r="B23" s="16" t="s">
        <v>39</v>
      </c>
      <c r="C23" s="60">
        <v>0.0</v>
      </c>
      <c r="D23" s="49"/>
      <c r="E23" s="54" t="s">
        <v>40</v>
      </c>
      <c r="F23" s="55">
        <f>SUM(F16:F22)</f>
        <v>11000</v>
      </c>
      <c r="G23" s="22"/>
      <c r="H23" s="6"/>
      <c r="I23" s="6"/>
      <c r="J23" s="6"/>
      <c r="K23" s="6"/>
      <c r="L23" s="6"/>
      <c r="M23" s="6"/>
      <c r="N23" s="6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5"/>
      <c r="B24" s="25" t="s">
        <v>41</v>
      </c>
      <c r="C24" s="26">
        <v>0.0</v>
      </c>
      <c r="D24" s="22"/>
      <c r="E24" s="41"/>
      <c r="F24" s="41"/>
      <c r="G24" s="6"/>
      <c r="H24" s="6"/>
      <c r="I24" s="6"/>
      <c r="J24" s="6"/>
      <c r="K24" s="6"/>
      <c r="L24" s="6"/>
      <c r="M24" s="6"/>
      <c r="N24" s="6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/>
      <c r="B25" s="25" t="s">
        <v>42</v>
      </c>
      <c r="C25" s="32">
        <v>0.0</v>
      </c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5"/>
      <c r="B26" s="25" t="s">
        <v>43</v>
      </c>
      <c r="C26" s="26">
        <v>0.0</v>
      </c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37" t="s">
        <v>44</v>
      </c>
      <c r="C27" s="61">
        <v>0.0</v>
      </c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/>
      <c r="B28" s="42"/>
      <c r="C28" s="6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/>
      <c r="B29" s="63"/>
      <c r="C29" s="4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"/>
      <c r="B30" s="64" t="s">
        <v>45</v>
      </c>
      <c r="C30" s="65" t="s">
        <v>46</v>
      </c>
      <c r="D30" s="66" t="s">
        <v>47</v>
      </c>
      <c r="E30" s="66" t="s">
        <v>48</v>
      </c>
      <c r="F30" s="66" t="s">
        <v>49</v>
      </c>
      <c r="G30" s="66" t="s">
        <v>50</v>
      </c>
      <c r="H30" s="66" t="s">
        <v>51</v>
      </c>
      <c r="I30" s="66" t="s">
        <v>52</v>
      </c>
      <c r="J30" s="66" t="s">
        <v>53</v>
      </c>
      <c r="K30" s="66" t="s">
        <v>54</v>
      </c>
      <c r="L30" s="66" t="s">
        <v>55</v>
      </c>
      <c r="M30" s="66" t="s">
        <v>56</v>
      </c>
      <c r="N30" s="67" t="s">
        <v>57</v>
      </c>
      <c r="O30" s="6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5"/>
      <c r="B31" s="69" t="s">
        <v>58</v>
      </c>
      <c r="C31" s="70">
        <v>30.0</v>
      </c>
      <c r="D31" s="71">
        <v>30.0</v>
      </c>
      <c r="E31" s="71">
        <v>30.0</v>
      </c>
      <c r="F31" s="72">
        <v>30.0</v>
      </c>
      <c r="G31" s="71">
        <v>30.0</v>
      </c>
      <c r="H31" s="72">
        <v>30.0</v>
      </c>
      <c r="I31" s="71">
        <v>30.0</v>
      </c>
      <c r="J31" s="71">
        <v>30.0</v>
      </c>
      <c r="K31" s="72">
        <v>30.0</v>
      </c>
      <c r="L31" s="71">
        <v>30.0</v>
      </c>
      <c r="M31" s="72">
        <v>30.0</v>
      </c>
      <c r="N31" s="73">
        <v>30.0</v>
      </c>
      <c r="O31" s="7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/>
      <c r="B32" s="75" t="s">
        <v>59</v>
      </c>
      <c r="C32" s="76">
        <v>200.0</v>
      </c>
      <c r="D32" s="76">
        <v>200.0</v>
      </c>
      <c r="E32" s="76">
        <v>200.0</v>
      </c>
      <c r="F32" s="76">
        <v>200.0</v>
      </c>
      <c r="G32" s="76">
        <v>200.0</v>
      </c>
      <c r="H32" s="76">
        <v>200.0</v>
      </c>
      <c r="I32" s="76">
        <v>200.0</v>
      </c>
      <c r="J32" s="76">
        <v>200.0</v>
      </c>
      <c r="K32" s="76">
        <v>200.0</v>
      </c>
      <c r="L32" s="76">
        <v>200.0</v>
      </c>
      <c r="M32" s="76">
        <v>200.0</v>
      </c>
      <c r="N32" s="76">
        <v>200.0</v>
      </c>
      <c r="O32" s="7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5"/>
      <c r="B33" s="75" t="s">
        <v>60</v>
      </c>
      <c r="C33" s="77">
        <v>1.0</v>
      </c>
      <c r="D33" s="78">
        <v>1.0</v>
      </c>
      <c r="E33" s="78">
        <v>1.0</v>
      </c>
      <c r="F33" s="78">
        <v>1.0</v>
      </c>
      <c r="G33" s="78">
        <v>1.0</v>
      </c>
      <c r="H33" s="78">
        <v>1.0</v>
      </c>
      <c r="I33" s="78">
        <v>1.0</v>
      </c>
      <c r="J33" s="78">
        <v>1.0</v>
      </c>
      <c r="K33" s="78">
        <v>1.0</v>
      </c>
      <c r="L33" s="78">
        <v>1.0</v>
      </c>
      <c r="M33" s="78">
        <v>1.0</v>
      </c>
      <c r="N33" s="78">
        <v>1.0</v>
      </c>
      <c r="O33" s="7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/>
      <c r="B34" s="79" t="s">
        <v>61</v>
      </c>
      <c r="C34" s="80">
        <v>1.0</v>
      </c>
      <c r="D34" s="81">
        <v>1.0</v>
      </c>
      <c r="E34" s="81">
        <v>1.0</v>
      </c>
      <c r="F34" s="81">
        <v>1.0</v>
      </c>
      <c r="G34" s="81">
        <v>1.0</v>
      </c>
      <c r="H34" s="81">
        <v>1.0</v>
      </c>
      <c r="I34" s="81">
        <v>1.0</v>
      </c>
      <c r="J34" s="81">
        <v>1.0</v>
      </c>
      <c r="K34" s="81">
        <v>1.0</v>
      </c>
      <c r="L34" s="81">
        <v>1.0</v>
      </c>
      <c r="M34" s="81">
        <v>1.0</v>
      </c>
      <c r="N34" s="82">
        <v>1.0</v>
      </c>
      <c r="O34" s="8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84"/>
      <c r="C35" s="65" t="s">
        <v>46</v>
      </c>
      <c r="D35" s="66" t="s">
        <v>47</v>
      </c>
      <c r="E35" s="66" t="s">
        <v>48</v>
      </c>
      <c r="F35" s="66" t="s">
        <v>49</v>
      </c>
      <c r="G35" s="66" t="s">
        <v>50</v>
      </c>
      <c r="H35" s="66" t="s">
        <v>51</v>
      </c>
      <c r="I35" s="66" t="s">
        <v>52</v>
      </c>
      <c r="J35" s="66" t="s">
        <v>53</v>
      </c>
      <c r="K35" s="66" t="s">
        <v>54</v>
      </c>
      <c r="L35" s="66" t="s">
        <v>55</v>
      </c>
      <c r="M35" s="66" t="s">
        <v>56</v>
      </c>
      <c r="N35" s="67" t="s">
        <v>57</v>
      </c>
      <c r="O35" s="85" t="s">
        <v>62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69" t="s">
        <v>63</v>
      </c>
      <c r="C36" s="86">
        <f t="shared" ref="C36:N36" si="2">C32*C33*C31</f>
        <v>6000</v>
      </c>
      <c r="D36" s="87">
        <f t="shared" si="2"/>
        <v>6000</v>
      </c>
      <c r="E36" s="87">
        <f t="shared" si="2"/>
        <v>6000</v>
      </c>
      <c r="F36" s="87">
        <f t="shared" si="2"/>
        <v>6000</v>
      </c>
      <c r="G36" s="87">
        <f t="shared" si="2"/>
        <v>6000</v>
      </c>
      <c r="H36" s="87">
        <f t="shared" si="2"/>
        <v>6000</v>
      </c>
      <c r="I36" s="87">
        <f t="shared" si="2"/>
        <v>6000</v>
      </c>
      <c r="J36" s="87">
        <f t="shared" si="2"/>
        <v>6000</v>
      </c>
      <c r="K36" s="87">
        <f t="shared" si="2"/>
        <v>6000</v>
      </c>
      <c r="L36" s="87">
        <f t="shared" si="2"/>
        <v>6000</v>
      </c>
      <c r="M36" s="87">
        <f t="shared" si="2"/>
        <v>6000</v>
      </c>
      <c r="N36" s="88">
        <f t="shared" si="2"/>
        <v>6000</v>
      </c>
      <c r="O36" s="89">
        <f t="shared" ref="O36:O38" si="4">SUM(C36:N36)</f>
        <v>72000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/>
      <c r="B37" s="90" t="s">
        <v>64</v>
      </c>
      <c r="C37" s="91">
        <f t="shared" ref="C37:N37" si="3">$C$27*C34</f>
        <v>0</v>
      </c>
      <c r="D37" s="92">
        <f t="shared" si="3"/>
        <v>0</v>
      </c>
      <c r="E37" s="92">
        <f t="shared" si="3"/>
        <v>0</v>
      </c>
      <c r="F37" s="92">
        <f t="shared" si="3"/>
        <v>0</v>
      </c>
      <c r="G37" s="92">
        <f t="shared" si="3"/>
        <v>0</v>
      </c>
      <c r="H37" s="92">
        <f t="shared" si="3"/>
        <v>0</v>
      </c>
      <c r="I37" s="92">
        <f t="shared" si="3"/>
        <v>0</v>
      </c>
      <c r="J37" s="92">
        <f t="shared" si="3"/>
        <v>0</v>
      </c>
      <c r="K37" s="92">
        <f t="shared" si="3"/>
        <v>0</v>
      </c>
      <c r="L37" s="92">
        <f t="shared" si="3"/>
        <v>0</v>
      </c>
      <c r="M37" s="92">
        <f t="shared" si="3"/>
        <v>0</v>
      </c>
      <c r="N37" s="93">
        <f t="shared" si="3"/>
        <v>0</v>
      </c>
      <c r="O37" s="94">
        <f t="shared" si="4"/>
        <v>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5"/>
      <c r="B38" s="95" t="s">
        <v>65</v>
      </c>
      <c r="C38" s="96">
        <f t="shared" ref="C38:N38" si="5">C31*C32*C33+C37</f>
        <v>6000</v>
      </c>
      <c r="D38" s="97">
        <f t="shared" si="5"/>
        <v>6000</v>
      </c>
      <c r="E38" s="97">
        <f t="shared" si="5"/>
        <v>6000</v>
      </c>
      <c r="F38" s="97">
        <f t="shared" si="5"/>
        <v>6000</v>
      </c>
      <c r="G38" s="97">
        <f t="shared" si="5"/>
        <v>6000</v>
      </c>
      <c r="H38" s="97">
        <f t="shared" si="5"/>
        <v>6000</v>
      </c>
      <c r="I38" s="97">
        <f t="shared" si="5"/>
        <v>6000</v>
      </c>
      <c r="J38" s="97">
        <f t="shared" si="5"/>
        <v>6000</v>
      </c>
      <c r="K38" s="97">
        <f t="shared" si="5"/>
        <v>6000</v>
      </c>
      <c r="L38" s="97">
        <f t="shared" si="5"/>
        <v>6000</v>
      </c>
      <c r="M38" s="97">
        <f t="shared" si="5"/>
        <v>6000</v>
      </c>
      <c r="N38" s="98">
        <f t="shared" si="5"/>
        <v>6000</v>
      </c>
      <c r="O38" s="99">
        <f t="shared" si="4"/>
        <v>72000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5"/>
      <c r="B39" s="18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2"/>
      <c r="O39" s="10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5"/>
      <c r="B40" s="104" t="s">
        <v>66</v>
      </c>
      <c r="C40" s="105">
        <f t="shared" ref="C40:N40" si="6">$C$23*C36</f>
        <v>0</v>
      </c>
      <c r="D40" s="106">
        <f t="shared" si="6"/>
        <v>0</v>
      </c>
      <c r="E40" s="106">
        <f t="shared" si="6"/>
        <v>0</v>
      </c>
      <c r="F40" s="106">
        <f t="shared" si="6"/>
        <v>0</v>
      </c>
      <c r="G40" s="106">
        <f t="shared" si="6"/>
        <v>0</v>
      </c>
      <c r="H40" s="106">
        <f t="shared" si="6"/>
        <v>0</v>
      </c>
      <c r="I40" s="106">
        <f t="shared" si="6"/>
        <v>0</v>
      </c>
      <c r="J40" s="106">
        <f t="shared" si="6"/>
        <v>0</v>
      </c>
      <c r="K40" s="106">
        <f t="shared" si="6"/>
        <v>0</v>
      </c>
      <c r="L40" s="106">
        <f t="shared" si="6"/>
        <v>0</v>
      </c>
      <c r="M40" s="106">
        <f t="shared" si="6"/>
        <v>0</v>
      </c>
      <c r="N40" s="107">
        <f t="shared" si="6"/>
        <v>0</v>
      </c>
      <c r="O40" s="108">
        <f>SUM(N40)</f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5"/>
      <c r="B41" s="104" t="s">
        <v>67</v>
      </c>
      <c r="C41" s="100">
        <f t="shared" ref="C41:N41" si="7">$C$24*C34</f>
        <v>0</v>
      </c>
      <c r="D41" s="101">
        <f t="shared" si="7"/>
        <v>0</v>
      </c>
      <c r="E41" s="101">
        <f t="shared" si="7"/>
        <v>0</v>
      </c>
      <c r="F41" s="101">
        <f t="shared" si="7"/>
        <v>0</v>
      </c>
      <c r="G41" s="101">
        <f t="shared" si="7"/>
        <v>0</v>
      </c>
      <c r="H41" s="101">
        <f t="shared" si="7"/>
        <v>0</v>
      </c>
      <c r="I41" s="101">
        <f t="shared" si="7"/>
        <v>0</v>
      </c>
      <c r="J41" s="101">
        <f t="shared" si="7"/>
        <v>0</v>
      </c>
      <c r="K41" s="101">
        <f t="shared" si="7"/>
        <v>0</v>
      </c>
      <c r="L41" s="101">
        <f t="shared" si="7"/>
        <v>0</v>
      </c>
      <c r="M41" s="101">
        <f t="shared" si="7"/>
        <v>0</v>
      </c>
      <c r="N41" s="102">
        <f t="shared" si="7"/>
        <v>0</v>
      </c>
      <c r="O41" s="109">
        <f t="shared" ref="O41:O44" si="9">SUM(C41:N41)</f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5"/>
      <c r="B42" s="104" t="s">
        <v>68</v>
      </c>
      <c r="C42" s="100">
        <f t="shared" ref="C42:N42" si="8">$C$25*C32*C33*C31</f>
        <v>0</v>
      </c>
      <c r="D42" s="101">
        <f t="shared" si="8"/>
        <v>0</v>
      </c>
      <c r="E42" s="101">
        <f t="shared" si="8"/>
        <v>0</v>
      </c>
      <c r="F42" s="101">
        <f t="shared" si="8"/>
        <v>0</v>
      </c>
      <c r="G42" s="101">
        <f t="shared" si="8"/>
        <v>0</v>
      </c>
      <c r="H42" s="101">
        <f t="shared" si="8"/>
        <v>0</v>
      </c>
      <c r="I42" s="101">
        <f t="shared" si="8"/>
        <v>0</v>
      </c>
      <c r="J42" s="101">
        <f t="shared" si="8"/>
        <v>0</v>
      </c>
      <c r="K42" s="101">
        <f t="shared" si="8"/>
        <v>0</v>
      </c>
      <c r="L42" s="101">
        <f t="shared" si="8"/>
        <v>0</v>
      </c>
      <c r="M42" s="101">
        <f t="shared" si="8"/>
        <v>0</v>
      </c>
      <c r="N42" s="102">
        <f t="shared" si="8"/>
        <v>0</v>
      </c>
      <c r="O42" s="109">
        <f t="shared" si="9"/>
        <v>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5"/>
      <c r="B43" s="90" t="s">
        <v>69</v>
      </c>
      <c r="C43" s="91">
        <f t="shared" ref="C43:N43" si="10">$C$26*C34</f>
        <v>0</v>
      </c>
      <c r="D43" s="92">
        <f t="shared" si="10"/>
        <v>0</v>
      </c>
      <c r="E43" s="92">
        <f t="shared" si="10"/>
        <v>0</v>
      </c>
      <c r="F43" s="92">
        <f t="shared" si="10"/>
        <v>0</v>
      </c>
      <c r="G43" s="92">
        <f t="shared" si="10"/>
        <v>0</v>
      </c>
      <c r="H43" s="92">
        <f t="shared" si="10"/>
        <v>0</v>
      </c>
      <c r="I43" s="92">
        <f t="shared" si="10"/>
        <v>0</v>
      </c>
      <c r="J43" s="92">
        <f t="shared" si="10"/>
        <v>0</v>
      </c>
      <c r="K43" s="92">
        <f t="shared" si="10"/>
        <v>0</v>
      </c>
      <c r="L43" s="92">
        <f t="shared" si="10"/>
        <v>0</v>
      </c>
      <c r="M43" s="92">
        <f t="shared" si="10"/>
        <v>0</v>
      </c>
      <c r="N43" s="93">
        <f t="shared" si="10"/>
        <v>0</v>
      </c>
      <c r="O43" s="94">
        <f t="shared" si="9"/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5"/>
      <c r="B44" s="95" t="s">
        <v>70</v>
      </c>
      <c r="C44" s="110">
        <f t="shared" ref="C44:N44" si="11">SUM(C40:C43)</f>
        <v>0</v>
      </c>
      <c r="D44" s="111">
        <f t="shared" si="11"/>
        <v>0</v>
      </c>
      <c r="E44" s="111">
        <f t="shared" si="11"/>
        <v>0</v>
      </c>
      <c r="F44" s="111">
        <f t="shared" si="11"/>
        <v>0</v>
      </c>
      <c r="G44" s="111">
        <f t="shared" si="11"/>
        <v>0</v>
      </c>
      <c r="H44" s="111">
        <f t="shared" si="11"/>
        <v>0</v>
      </c>
      <c r="I44" s="111">
        <f t="shared" si="11"/>
        <v>0</v>
      </c>
      <c r="J44" s="111">
        <f t="shared" si="11"/>
        <v>0</v>
      </c>
      <c r="K44" s="111">
        <f t="shared" si="11"/>
        <v>0</v>
      </c>
      <c r="L44" s="111">
        <f t="shared" si="11"/>
        <v>0</v>
      </c>
      <c r="M44" s="111">
        <f t="shared" si="11"/>
        <v>0</v>
      </c>
      <c r="N44" s="112">
        <f t="shared" si="11"/>
        <v>0</v>
      </c>
      <c r="O44" s="99">
        <f t="shared" si="9"/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5"/>
      <c r="B45" s="18"/>
      <c r="C45" s="113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5"/>
      <c r="O45" s="10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5"/>
      <c r="B46" s="104" t="s">
        <v>71</v>
      </c>
      <c r="C46" s="100">
        <f t="shared" ref="C46:N46" si="12">C38-C44</f>
        <v>6000</v>
      </c>
      <c r="D46" s="101">
        <f t="shared" si="12"/>
        <v>6000</v>
      </c>
      <c r="E46" s="101">
        <f t="shared" si="12"/>
        <v>6000</v>
      </c>
      <c r="F46" s="101">
        <f t="shared" si="12"/>
        <v>6000</v>
      </c>
      <c r="G46" s="101">
        <f t="shared" si="12"/>
        <v>6000</v>
      </c>
      <c r="H46" s="101">
        <f t="shared" si="12"/>
        <v>6000</v>
      </c>
      <c r="I46" s="101">
        <f t="shared" si="12"/>
        <v>6000</v>
      </c>
      <c r="J46" s="101">
        <f t="shared" si="12"/>
        <v>6000</v>
      </c>
      <c r="K46" s="101">
        <f t="shared" si="12"/>
        <v>6000</v>
      </c>
      <c r="L46" s="101">
        <f t="shared" si="12"/>
        <v>6000</v>
      </c>
      <c r="M46" s="101">
        <f t="shared" si="12"/>
        <v>6000</v>
      </c>
      <c r="N46" s="102">
        <f t="shared" si="12"/>
        <v>6000</v>
      </c>
      <c r="O46" s="109">
        <f>SUM(C46:N46)</f>
        <v>72000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5"/>
      <c r="B47" s="18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5"/>
      <c r="O47" s="10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5"/>
      <c r="B48" s="104" t="s">
        <v>72</v>
      </c>
      <c r="C48" s="100">
        <f t="shared" ref="C48:N48" si="13">$C$20</f>
        <v>8043.666667</v>
      </c>
      <c r="D48" s="101">
        <f t="shared" si="13"/>
        <v>8043.666667</v>
      </c>
      <c r="E48" s="101">
        <f t="shared" si="13"/>
        <v>8043.666667</v>
      </c>
      <c r="F48" s="101">
        <f t="shared" si="13"/>
        <v>8043.666667</v>
      </c>
      <c r="G48" s="101">
        <f t="shared" si="13"/>
        <v>8043.666667</v>
      </c>
      <c r="H48" s="101">
        <f t="shared" si="13"/>
        <v>8043.666667</v>
      </c>
      <c r="I48" s="101">
        <f t="shared" si="13"/>
        <v>8043.666667</v>
      </c>
      <c r="J48" s="101">
        <f t="shared" si="13"/>
        <v>8043.666667</v>
      </c>
      <c r="K48" s="101">
        <f t="shared" si="13"/>
        <v>8043.666667</v>
      </c>
      <c r="L48" s="101">
        <f t="shared" si="13"/>
        <v>8043.666667</v>
      </c>
      <c r="M48" s="101">
        <f t="shared" si="13"/>
        <v>8043.666667</v>
      </c>
      <c r="N48" s="102">
        <f t="shared" si="13"/>
        <v>8043.666667</v>
      </c>
      <c r="O48" s="109">
        <f t="shared" ref="O48:O53" si="15">SUM(C48:N48)</f>
        <v>96524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5"/>
      <c r="B49" s="104" t="s">
        <v>73</v>
      </c>
      <c r="C49" s="100">
        <f t="shared" ref="C49:N49" si="14">$C$16</f>
        <v>1</v>
      </c>
      <c r="D49" s="101">
        <f t="shared" si="14"/>
        <v>1</v>
      </c>
      <c r="E49" s="101">
        <f t="shared" si="14"/>
        <v>1</v>
      </c>
      <c r="F49" s="101">
        <f t="shared" si="14"/>
        <v>1</v>
      </c>
      <c r="G49" s="101">
        <f t="shared" si="14"/>
        <v>1</v>
      </c>
      <c r="H49" s="101">
        <f t="shared" si="14"/>
        <v>1</v>
      </c>
      <c r="I49" s="101">
        <f t="shared" si="14"/>
        <v>1</v>
      </c>
      <c r="J49" s="101">
        <f t="shared" si="14"/>
        <v>1</v>
      </c>
      <c r="K49" s="101">
        <f t="shared" si="14"/>
        <v>1</v>
      </c>
      <c r="L49" s="101">
        <f t="shared" si="14"/>
        <v>1</v>
      </c>
      <c r="M49" s="101">
        <f t="shared" si="14"/>
        <v>1</v>
      </c>
      <c r="N49" s="102">
        <f t="shared" si="14"/>
        <v>1</v>
      </c>
      <c r="O49" s="109">
        <f t="shared" si="15"/>
        <v>12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5"/>
      <c r="B50" s="104" t="s">
        <v>74</v>
      </c>
      <c r="C50" s="100">
        <f t="shared" ref="C50:N50" si="16">$C$17</f>
        <v>1</v>
      </c>
      <c r="D50" s="101">
        <f t="shared" si="16"/>
        <v>1</v>
      </c>
      <c r="E50" s="101">
        <f t="shared" si="16"/>
        <v>1</v>
      </c>
      <c r="F50" s="101">
        <f t="shared" si="16"/>
        <v>1</v>
      </c>
      <c r="G50" s="101">
        <f t="shared" si="16"/>
        <v>1</v>
      </c>
      <c r="H50" s="101">
        <f t="shared" si="16"/>
        <v>1</v>
      </c>
      <c r="I50" s="101">
        <f t="shared" si="16"/>
        <v>1</v>
      </c>
      <c r="J50" s="101">
        <f t="shared" si="16"/>
        <v>1</v>
      </c>
      <c r="K50" s="101">
        <f t="shared" si="16"/>
        <v>1</v>
      </c>
      <c r="L50" s="101">
        <f t="shared" si="16"/>
        <v>1</v>
      </c>
      <c r="M50" s="101">
        <f t="shared" si="16"/>
        <v>1</v>
      </c>
      <c r="N50" s="102">
        <f t="shared" si="16"/>
        <v>1</v>
      </c>
      <c r="O50" s="109">
        <f t="shared" si="15"/>
        <v>12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5"/>
      <c r="B51" s="104" t="s">
        <v>75</v>
      </c>
      <c r="C51" s="100">
        <f t="shared" ref="C51:N51" si="17">$C$18</f>
        <v>180</v>
      </c>
      <c r="D51" s="101">
        <f t="shared" si="17"/>
        <v>180</v>
      </c>
      <c r="E51" s="101">
        <f t="shared" si="17"/>
        <v>180</v>
      </c>
      <c r="F51" s="101">
        <f t="shared" si="17"/>
        <v>180</v>
      </c>
      <c r="G51" s="101">
        <f t="shared" si="17"/>
        <v>180</v>
      </c>
      <c r="H51" s="101">
        <f t="shared" si="17"/>
        <v>180</v>
      </c>
      <c r="I51" s="101">
        <f t="shared" si="17"/>
        <v>180</v>
      </c>
      <c r="J51" s="101">
        <f t="shared" si="17"/>
        <v>180</v>
      </c>
      <c r="K51" s="101">
        <f t="shared" si="17"/>
        <v>180</v>
      </c>
      <c r="L51" s="101">
        <f t="shared" si="17"/>
        <v>180</v>
      </c>
      <c r="M51" s="101">
        <f t="shared" si="17"/>
        <v>180</v>
      </c>
      <c r="N51" s="102">
        <f t="shared" si="17"/>
        <v>180</v>
      </c>
      <c r="O51" s="109">
        <f t="shared" si="15"/>
        <v>2160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5"/>
      <c r="B52" s="90" t="s">
        <v>76</v>
      </c>
      <c r="C52" s="91">
        <f t="shared" ref="C52:N52" si="18">$C$19</f>
        <v>1</v>
      </c>
      <c r="D52" s="92">
        <f t="shared" si="18"/>
        <v>1</v>
      </c>
      <c r="E52" s="92">
        <f t="shared" si="18"/>
        <v>1</v>
      </c>
      <c r="F52" s="92">
        <f t="shared" si="18"/>
        <v>1</v>
      </c>
      <c r="G52" s="92">
        <f t="shared" si="18"/>
        <v>1</v>
      </c>
      <c r="H52" s="92">
        <f t="shared" si="18"/>
        <v>1</v>
      </c>
      <c r="I52" s="92">
        <f t="shared" si="18"/>
        <v>1</v>
      </c>
      <c r="J52" s="92">
        <f t="shared" si="18"/>
        <v>1</v>
      </c>
      <c r="K52" s="92">
        <f t="shared" si="18"/>
        <v>1</v>
      </c>
      <c r="L52" s="92">
        <f t="shared" si="18"/>
        <v>1</v>
      </c>
      <c r="M52" s="92">
        <f t="shared" si="18"/>
        <v>1</v>
      </c>
      <c r="N52" s="93">
        <f t="shared" si="18"/>
        <v>1</v>
      </c>
      <c r="O52" s="94">
        <f t="shared" si="15"/>
        <v>12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/>
      <c r="B53" s="116" t="s">
        <v>77</v>
      </c>
      <c r="C53" s="117">
        <f t="shared" ref="C53:N53" si="19">SUM(C48:C52)</f>
        <v>8226.666667</v>
      </c>
      <c r="D53" s="118">
        <f t="shared" si="19"/>
        <v>8226.666667</v>
      </c>
      <c r="E53" s="118">
        <f t="shared" si="19"/>
        <v>8226.666667</v>
      </c>
      <c r="F53" s="118">
        <f t="shared" si="19"/>
        <v>8226.666667</v>
      </c>
      <c r="G53" s="118">
        <f t="shared" si="19"/>
        <v>8226.666667</v>
      </c>
      <c r="H53" s="118">
        <f t="shared" si="19"/>
        <v>8226.666667</v>
      </c>
      <c r="I53" s="118">
        <f t="shared" si="19"/>
        <v>8226.666667</v>
      </c>
      <c r="J53" s="118">
        <f t="shared" si="19"/>
        <v>8226.666667</v>
      </c>
      <c r="K53" s="118">
        <f t="shared" si="19"/>
        <v>8226.666667</v>
      </c>
      <c r="L53" s="118">
        <f t="shared" si="19"/>
        <v>8226.666667</v>
      </c>
      <c r="M53" s="118">
        <f t="shared" si="19"/>
        <v>8226.666667</v>
      </c>
      <c r="N53" s="119">
        <f t="shared" si="19"/>
        <v>8226.666667</v>
      </c>
      <c r="O53" s="120">
        <f t="shared" si="15"/>
        <v>98720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23" t="s">
        <v>78</v>
      </c>
      <c r="C55" s="124">
        <f t="shared" ref="C55:N55" si="20">C38-C44-C53</f>
        <v>-2226.666667</v>
      </c>
      <c r="D55" s="125">
        <f t="shared" si="20"/>
        <v>-2226.666667</v>
      </c>
      <c r="E55" s="125">
        <f t="shared" si="20"/>
        <v>-2226.666667</v>
      </c>
      <c r="F55" s="125">
        <f t="shared" si="20"/>
        <v>-2226.666667</v>
      </c>
      <c r="G55" s="125">
        <f t="shared" si="20"/>
        <v>-2226.666667</v>
      </c>
      <c r="H55" s="125">
        <f t="shared" si="20"/>
        <v>-2226.666667</v>
      </c>
      <c r="I55" s="125">
        <f t="shared" si="20"/>
        <v>-2226.666667</v>
      </c>
      <c r="J55" s="125">
        <f t="shared" si="20"/>
        <v>-2226.666667</v>
      </c>
      <c r="K55" s="125">
        <f t="shared" si="20"/>
        <v>-2226.666667</v>
      </c>
      <c r="L55" s="125">
        <f t="shared" si="20"/>
        <v>-2226.666667</v>
      </c>
      <c r="M55" s="125">
        <f t="shared" si="20"/>
        <v>-2226.666667</v>
      </c>
      <c r="N55" s="126">
        <f t="shared" si="20"/>
        <v>-2226.666667</v>
      </c>
      <c r="O55" s="127">
        <f>SUM(C55:N55)</f>
        <v>-26720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41"/>
      <c r="C56" s="57">
        <f>SUM(C55:N55)</f>
        <v>-26720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12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6"/>
      <c r="C57" s="14"/>
      <c r="D57" s="14"/>
      <c r="E57" s="14"/>
      <c r="F57" s="6"/>
      <c r="G57" s="6"/>
      <c r="H57" s="6"/>
      <c r="I57" s="129"/>
      <c r="J57" s="129"/>
      <c r="K57" s="129"/>
      <c r="L57" s="129"/>
      <c r="M57" s="129"/>
      <c r="N57" s="129"/>
      <c r="O57" s="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46"/>
      <c r="C58" s="130" t="s">
        <v>79</v>
      </c>
      <c r="D58" s="131"/>
      <c r="E58" s="84"/>
      <c r="F58" s="132"/>
      <c r="G58" s="14"/>
      <c r="H58" s="14"/>
      <c r="I58" s="6"/>
      <c r="J58" s="6"/>
      <c r="K58" s="6"/>
      <c r="L58" s="6"/>
      <c r="M58" s="6"/>
      <c r="N58" s="6"/>
      <c r="O58" s="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46"/>
      <c r="C59" s="133">
        <v>0.0</v>
      </c>
      <c r="D59" s="134">
        <v>1.0</v>
      </c>
      <c r="E59" s="134">
        <f t="shared" ref="E59:H59" si="21">D59+1</f>
        <v>2</v>
      </c>
      <c r="F59" s="134">
        <f t="shared" si="21"/>
        <v>3</v>
      </c>
      <c r="G59" s="134">
        <f t="shared" si="21"/>
        <v>4</v>
      </c>
      <c r="H59" s="135">
        <f t="shared" si="21"/>
        <v>5</v>
      </c>
      <c r="I59" s="22"/>
      <c r="J59" s="6"/>
      <c r="K59" s="6"/>
      <c r="L59" s="6"/>
      <c r="M59" s="6"/>
      <c r="N59" s="6"/>
      <c r="O59" s="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6"/>
      <c r="B60" s="137"/>
      <c r="C60" s="138">
        <f>-G6</f>
        <v>-101251</v>
      </c>
      <c r="D60" s="45">
        <f t="shared" ref="D60:H60" si="22">$O$55*(1-$C$9)</f>
        <v>-24048</v>
      </c>
      <c r="E60" s="45">
        <f t="shared" si="22"/>
        <v>-24048</v>
      </c>
      <c r="F60" s="45">
        <f t="shared" si="22"/>
        <v>-24048</v>
      </c>
      <c r="G60" s="45">
        <f t="shared" si="22"/>
        <v>-24048</v>
      </c>
      <c r="H60" s="139">
        <f t="shared" si="22"/>
        <v>-24048</v>
      </c>
      <c r="I60" s="140"/>
      <c r="J60" s="141"/>
      <c r="K60" s="141"/>
      <c r="L60" s="141"/>
      <c r="M60" s="141"/>
      <c r="N60" s="141"/>
      <c r="O60" s="14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C3:N3"/>
  </mergeCells>
  <conditionalFormatting sqref="C10 C28 C40:O40 C44:N44">
    <cfRule type="cellIs" dxfId="0" priority="1" stopIfTrue="1" operator="lessThan">
      <formula>0</formula>
    </cfRule>
  </conditionalFormatting>
  <hyperlinks>
    <hyperlink r:id="rId2" ref="H4"/>
  </hyperlinks>
  <printOptions/>
  <pageMargins bottom="0.75" footer="0.0" header="0.0" left="0.7" right="0.7" top="0.75"/>
  <pageSetup orientation="portrait"/>
  <headerFooter>
    <oddFooter>&amp;C000000&amp;P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35.88"/>
    <col customWidth="1" min="3" max="3" width="17.38"/>
    <col customWidth="1" min="4" max="4" width="14.63"/>
    <col customWidth="1" min="5" max="5" width="15.38"/>
    <col customWidth="1" min="6" max="6" width="14.63"/>
    <col customWidth="1" min="7" max="7" width="14.25"/>
    <col customWidth="1" min="8" max="8" width="15.38"/>
    <col customWidth="1" min="9" max="10" width="15.75"/>
    <col customWidth="1" min="11" max="11" width="15.0"/>
    <col customWidth="1" min="12" max="12" width="14.25"/>
    <col customWidth="1" min="13" max="13" width="14.63"/>
    <col customWidth="1" min="14" max="14" width="13.88"/>
    <col customWidth="1" min="15" max="15" width="17.88"/>
    <col customWidth="1" min="16" max="26" width="12.1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/>
      <c r="B3" s="6"/>
      <c r="C3" s="8" t="s">
        <v>80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/>
      <c r="B4" s="6"/>
      <c r="C4" s="11" t="s">
        <v>81</v>
      </c>
      <c r="D4" s="6"/>
      <c r="E4" s="6"/>
      <c r="F4" s="6"/>
      <c r="G4" s="6"/>
      <c r="H4" s="11" t="s">
        <v>82</v>
      </c>
      <c r="I4" s="12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/>
      <c r="B5" s="13" t="s">
        <v>2</v>
      </c>
      <c r="C5" s="14"/>
      <c r="D5" s="6"/>
      <c r="E5" s="13" t="s">
        <v>3</v>
      </c>
      <c r="F5" s="14"/>
      <c r="G5" s="14"/>
      <c r="H5" s="6"/>
      <c r="I5" s="6"/>
      <c r="J5" s="6"/>
      <c r="K5" s="6"/>
      <c r="L5" s="6"/>
      <c r="M5" s="6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 t="s">
        <v>4</v>
      </c>
      <c r="C6" s="17">
        <v>700000.0</v>
      </c>
      <c r="D6" s="18"/>
      <c r="E6" s="19" t="s">
        <v>5</v>
      </c>
      <c r="F6" s="20"/>
      <c r="G6" s="21">
        <f>SUM(C7:C8)</f>
        <v>180251</v>
      </c>
      <c r="H6" s="22"/>
      <c r="I6" s="23" t="s">
        <v>6</v>
      </c>
      <c r="J6" s="24" t="s">
        <v>7</v>
      </c>
      <c r="K6" s="23" t="s">
        <v>8</v>
      </c>
      <c r="L6" s="6"/>
      <c r="M6" s="6"/>
      <c r="N6" s="6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/>
      <c r="B7" s="25" t="s">
        <v>9</v>
      </c>
      <c r="C7" s="26">
        <v>180250.0</v>
      </c>
      <c r="D7" s="18"/>
      <c r="E7" s="27" t="s">
        <v>10</v>
      </c>
      <c r="F7" s="28"/>
      <c r="G7" s="29">
        <f>SUM(C55:N55)</f>
        <v>-31700</v>
      </c>
      <c r="H7" s="22"/>
      <c r="I7" s="23" t="s">
        <v>11</v>
      </c>
      <c r="J7" s="30">
        <f>C36*11</f>
        <v>28710</v>
      </c>
      <c r="K7" s="30">
        <f>C36*11</f>
        <v>28710</v>
      </c>
      <c r="L7" s="30"/>
      <c r="M7" s="6"/>
      <c r="N7" s="6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5"/>
      <c r="B8" s="25" t="s">
        <v>12</v>
      </c>
      <c r="C8" s="26">
        <v>1.0</v>
      </c>
      <c r="D8" s="18"/>
      <c r="E8" s="27" t="s">
        <v>13</v>
      </c>
      <c r="F8" s="28"/>
      <c r="G8" s="29">
        <f>G7*(1-C9)-F23</f>
        <v>-38383</v>
      </c>
      <c r="H8" s="22"/>
      <c r="I8" s="23" t="s">
        <v>14</v>
      </c>
      <c r="J8" s="31">
        <f>(SUM(C16,C17,C19)*12)+F23</f>
        <v>7036</v>
      </c>
      <c r="K8" s="31">
        <f>SUM(C16,C17,C19)*12</f>
        <v>36</v>
      </c>
      <c r="L8" s="31"/>
      <c r="M8" s="6"/>
      <c r="N8" s="6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/>
      <c r="B9" s="25" t="s">
        <v>15</v>
      </c>
      <c r="C9" s="32">
        <v>0.01</v>
      </c>
      <c r="D9" s="18"/>
      <c r="E9" s="33" t="s">
        <v>16</v>
      </c>
      <c r="F9" s="34"/>
      <c r="G9" s="35">
        <f>G6/G7</f>
        <v>-5.68615142</v>
      </c>
      <c r="H9" s="22"/>
      <c r="I9" s="23" t="s">
        <v>17</v>
      </c>
      <c r="J9" s="36">
        <f>C20*12+F23</f>
        <v>67824</v>
      </c>
      <c r="K9" s="36">
        <f>SUM(C13,C14,C15,C18)*12</f>
        <v>62984</v>
      </c>
      <c r="L9" s="36"/>
      <c r="M9" s="6"/>
      <c r="N9" s="6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5"/>
      <c r="B10" s="37" t="s">
        <v>18</v>
      </c>
      <c r="C10" s="38">
        <v>60000.0</v>
      </c>
      <c r="D10" s="18"/>
      <c r="E10" s="19" t="s">
        <v>19</v>
      </c>
      <c r="F10" s="20"/>
      <c r="G10" s="39">
        <f>G7/G6</f>
        <v>-0.1758658759</v>
      </c>
      <c r="H10" s="22"/>
      <c r="I10" s="23" t="s">
        <v>20</v>
      </c>
      <c r="J10" s="40">
        <f t="shared" ref="J10:K10" si="1">(J7-J8)/J9</f>
        <v>0.3195623968</v>
      </c>
      <c r="K10" s="40">
        <f t="shared" si="1"/>
        <v>0.4552584783</v>
      </c>
      <c r="L10" s="40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/>
      <c r="B11" s="41"/>
      <c r="C11" s="42"/>
      <c r="D11" s="43"/>
      <c r="E11" s="27" t="s">
        <v>21</v>
      </c>
      <c r="F11" s="28"/>
      <c r="G11" s="44" t="str">
        <f>IRR(C60:H60)</f>
        <v>#NUM!</v>
      </c>
      <c r="H11" s="22"/>
      <c r="I11" s="6"/>
      <c r="J11" s="6"/>
      <c r="K11" s="6"/>
      <c r="L11" s="6"/>
      <c r="M11" s="6"/>
      <c r="N11" s="6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/>
      <c r="B12" s="13" t="s">
        <v>22</v>
      </c>
      <c r="C12" s="45"/>
      <c r="D12" s="46"/>
      <c r="E12" s="33" t="s">
        <v>23</v>
      </c>
      <c r="F12" s="34"/>
      <c r="G12" s="47">
        <f>SUM(C10,D60:H60)/G6</f>
        <v>-0.53766692</v>
      </c>
      <c r="H12" s="22"/>
      <c r="I12" s="6"/>
      <c r="J12" s="6"/>
      <c r="K12" s="6"/>
      <c r="L12" s="6"/>
      <c r="M12" s="6"/>
      <c r="N12" s="6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5"/>
      <c r="B13" s="16" t="s">
        <v>24</v>
      </c>
      <c r="C13" s="17">
        <v>3993.0</v>
      </c>
      <c r="D13" s="22"/>
      <c r="E13" s="41"/>
      <c r="F13" s="41"/>
      <c r="G13" s="41"/>
      <c r="H13" s="6"/>
      <c r="I13" s="6"/>
      <c r="J13" s="6"/>
      <c r="K13" s="6"/>
      <c r="L13" s="6"/>
      <c r="M13" s="6"/>
      <c r="N13" s="6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5"/>
      <c r="B14" s="25" t="s">
        <v>25</v>
      </c>
      <c r="C14" s="48">
        <f>(C6*0.0125)/12</f>
        <v>729.1666667</v>
      </c>
      <c r="D14" s="22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5"/>
      <c r="B15" s="25" t="s">
        <v>26</v>
      </c>
      <c r="C15" s="48">
        <f>((C6-C7)*0.008)/12</f>
        <v>346.5</v>
      </c>
      <c r="D15" s="22"/>
      <c r="E15" s="13" t="s">
        <v>27</v>
      </c>
      <c r="F15" s="45"/>
      <c r="G15" s="6"/>
      <c r="H15" s="6"/>
      <c r="I15" s="6"/>
      <c r="J15" s="6"/>
      <c r="K15" s="6"/>
      <c r="L15" s="6"/>
      <c r="M15" s="6"/>
      <c r="N15" s="6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/>
      <c r="B16" s="25" t="s">
        <v>28</v>
      </c>
      <c r="C16" s="26">
        <v>1.0</v>
      </c>
      <c r="D16" s="49"/>
      <c r="E16" s="16" t="s">
        <v>29</v>
      </c>
      <c r="F16" s="50">
        <f>(C6/100*1)</f>
        <v>7000</v>
      </c>
      <c r="G16" s="22"/>
      <c r="H16" s="6"/>
      <c r="I16" s="6"/>
      <c r="J16" s="6"/>
      <c r="K16" s="6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/>
      <c r="B17" s="25" t="s">
        <v>30</v>
      </c>
      <c r="C17" s="26">
        <v>1.0</v>
      </c>
      <c r="D17" s="49"/>
      <c r="E17" s="25" t="s">
        <v>31</v>
      </c>
      <c r="F17" s="26">
        <v>0.0</v>
      </c>
      <c r="G17" s="22"/>
      <c r="H17" s="6"/>
      <c r="I17" s="6"/>
      <c r="J17" s="6"/>
      <c r="K17" s="6"/>
      <c r="L17" s="6"/>
      <c r="M17" s="6"/>
      <c r="N17" s="6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5"/>
      <c r="B18" s="25" t="s">
        <v>32</v>
      </c>
      <c r="C18" s="26">
        <v>180.0</v>
      </c>
      <c r="D18" s="49"/>
      <c r="E18" s="25" t="s">
        <v>33</v>
      </c>
      <c r="F18" s="26">
        <v>0.0</v>
      </c>
      <c r="G18" s="51" t="s">
        <v>34</v>
      </c>
      <c r="H18" s="6"/>
      <c r="I18" s="6"/>
      <c r="J18" s="6"/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5"/>
      <c r="B19" s="52" t="s">
        <v>35</v>
      </c>
      <c r="C19" s="53">
        <v>1.0</v>
      </c>
      <c r="D19" s="49"/>
      <c r="E19" s="25" t="s">
        <v>36</v>
      </c>
      <c r="F19" s="26">
        <v>0.0</v>
      </c>
      <c r="G19" s="22"/>
      <c r="H19" s="6"/>
      <c r="I19" s="6"/>
      <c r="J19" s="6"/>
      <c r="K19" s="6"/>
      <c r="L19" s="6"/>
      <c r="M19" s="6"/>
      <c r="N19" s="6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54" t="s">
        <v>37</v>
      </c>
      <c r="C20" s="55">
        <f>SUM(C13:C15)</f>
        <v>5068.666667</v>
      </c>
      <c r="D20" s="49"/>
      <c r="E20" s="56"/>
      <c r="F20" s="48"/>
      <c r="G20" s="22"/>
      <c r="H20" s="6"/>
      <c r="I20" s="6"/>
      <c r="J20" s="6"/>
      <c r="K20" s="6"/>
      <c r="L20" s="6"/>
      <c r="M20" s="6"/>
      <c r="N20" s="6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"/>
      <c r="B21" s="42"/>
      <c r="C21" s="57"/>
      <c r="D21" s="46"/>
      <c r="E21" s="56"/>
      <c r="F21" s="48"/>
      <c r="G21" s="22"/>
      <c r="H21" s="6"/>
      <c r="I21" s="6"/>
      <c r="J21" s="6"/>
      <c r="K21" s="6"/>
      <c r="L21" s="6"/>
      <c r="M21" s="6"/>
      <c r="N21" s="6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"/>
      <c r="B22" s="13" t="s">
        <v>38</v>
      </c>
      <c r="C22" s="45"/>
      <c r="D22" s="46"/>
      <c r="E22" s="58"/>
      <c r="F22" s="59"/>
      <c r="G22" s="22"/>
      <c r="H22" s="6"/>
      <c r="I22" s="6"/>
      <c r="J22" s="6"/>
      <c r="K22" s="6"/>
      <c r="L22" s="6"/>
      <c r="M22" s="6"/>
      <c r="N22" s="6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5"/>
      <c r="B23" s="16" t="s">
        <v>39</v>
      </c>
      <c r="C23" s="60">
        <v>0.0</v>
      </c>
      <c r="D23" s="49"/>
      <c r="E23" s="54" t="s">
        <v>40</v>
      </c>
      <c r="F23" s="55">
        <f>SUM(F16:F22)</f>
        <v>7000</v>
      </c>
      <c r="G23" s="22"/>
      <c r="H23" s="6"/>
      <c r="I23" s="6"/>
      <c r="J23" s="6"/>
      <c r="K23" s="6"/>
      <c r="L23" s="6"/>
      <c r="M23" s="6"/>
      <c r="N23" s="6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5"/>
      <c r="B24" s="25" t="s">
        <v>41</v>
      </c>
      <c r="C24" s="26">
        <v>0.0</v>
      </c>
      <c r="D24" s="22"/>
      <c r="E24" s="41"/>
      <c r="F24" s="41"/>
      <c r="G24" s="6"/>
      <c r="H24" s="6"/>
      <c r="I24" s="6"/>
      <c r="J24" s="6"/>
      <c r="K24" s="6"/>
      <c r="L24" s="6"/>
      <c r="M24" s="6"/>
      <c r="N24" s="6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/>
      <c r="B25" s="25" t="s">
        <v>42</v>
      </c>
      <c r="C25" s="32">
        <v>0.0</v>
      </c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5"/>
      <c r="B26" s="25" t="s">
        <v>43</v>
      </c>
      <c r="C26" s="26">
        <v>0.0</v>
      </c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37" t="s">
        <v>44</v>
      </c>
      <c r="C27" s="61">
        <v>0.0</v>
      </c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/>
      <c r="B28" s="42"/>
      <c r="C28" s="6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/>
      <c r="B29" s="63"/>
      <c r="C29" s="4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"/>
      <c r="B30" s="64" t="s">
        <v>45</v>
      </c>
      <c r="C30" s="65" t="s">
        <v>46</v>
      </c>
      <c r="D30" s="66" t="s">
        <v>47</v>
      </c>
      <c r="E30" s="66" t="s">
        <v>48</v>
      </c>
      <c r="F30" s="66" t="s">
        <v>49</v>
      </c>
      <c r="G30" s="66" t="s">
        <v>50</v>
      </c>
      <c r="H30" s="66" t="s">
        <v>51</v>
      </c>
      <c r="I30" s="66" t="s">
        <v>52</v>
      </c>
      <c r="J30" s="66" t="s">
        <v>53</v>
      </c>
      <c r="K30" s="66" t="s">
        <v>54</v>
      </c>
      <c r="L30" s="66" t="s">
        <v>55</v>
      </c>
      <c r="M30" s="66" t="s">
        <v>56</v>
      </c>
      <c r="N30" s="67" t="s">
        <v>57</v>
      </c>
      <c r="O30" s="6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5"/>
      <c r="B31" s="69" t="s">
        <v>58</v>
      </c>
      <c r="C31" s="70">
        <v>30.0</v>
      </c>
      <c r="D31" s="71">
        <v>30.0</v>
      </c>
      <c r="E31" s="71">
        <v>30.0</v>
      </c>
      <c r="F31" s="72">
        <v>30.0</v>
      </c>
      <c r="G31" s="71">
        <v>30.0</v>
      </c>
      <c r="H31" s="72">
        <v>30.0</v>
      </c>
      <c r="I31" s="71">
        <v>30.0</v>
      </c>
      <c r="J31" s="71">
        <v>30.0</v>
      </c>
      <c r="K31" s="72">
        <v>30.0</v>
      </c>
      <c r="L31" s="71">
        <v>30.0</v>
      </c>
      <c r="M31" s="72">
        <v>30.0</v>
      </c>
      <c r="N31" s="73">
        <v>30.0</v>
      </c>
      <c r="O31" s="7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/>
      <c r="B32" s="75" t="s">
        <v>59</v>
      </c>
      <c r="C32" s="76">
        <v>87.0</v>
      </c>
      <c r="D32" s="76">
        <v>87.0</v>
      </c>
      <c r="E32" s="76">
        <v>87.0</v>
      </c>
      <c r="F32" s="76">
        <v>87.0</v>
      </c>
      <c r="G32" s="76">
        <v>87.0</v>
      </c>
      <c r="H32" s="76">
        <v>87.0</v>
      </c>
      <c r="I32" s="76">
        <v>87.0</v>
      </c>
      <c r="J32" s="76">
        <v>87.0</v>
      </c>
      <c r="K32" s="76">
        <v>87.0</v>
      </c>
      <c r="L32" s="76">
        <v>87.0</v>
      </c>
      <c r="M32" s="76">
        <v>87.0</v>
      </c>
      <c r="N32" s="76">
        <v>87.0</v>
      </c>
      <c r="O32" s="7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5"/>
      <c r="B33" s="75" t="s">
        <v>60</v>
      </c>
      <c r="C33" s="77">
        <v>1.0</v>
      </c>
      <c r="D33" s="78">
        <v>1.0</v>
      </c>
      <c r="E33" s="78">
        <v>1.0</v>
      </c>
      <c r="F33" s="78">
        <v>1.0</v>
      </c>
      <c r="G33" s="78">
        <v>1.0</v>
      </c>
      <c r="H33" s="78">
        <v>1.0</v>
      </c>
      <c r="I33" s="78">
        <v>1.0</v>
      </c>
      <c r="J33" s="78">
        <v>1.0</v>
      </c>
      <c r="K33" s="78">
        <v>1.0</v>
      </c>
      <c r="L33" s="78">
        <v>1.0</v>
      </c>
      <c r="M33" s="78">
        <v>1.0</v>
      </c>
      <c r="N33" s="78">
        <v>1.0</v>
      </c>
      <c r="O33" s="7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/>
      <c r="B34" s="79" t="s">
        <v>61</v>
      </c>
      <c r="C34" s="80">
        <v>1.0</v>
      </c>
      <c r="D34" s="81">
        <v>1.0</v>
      </c>
      <c r="E34" s="81">
        <v>1.0</v>
      </c>
      <c r="F34" s="81">
        <v>1.0</v>
      </c>
      <c r="G34" s="81">
        <v>1.0</v>
      </c>
      <c r="H34" s="81">
        <v>1.0</v>
      </c>
      <c r="I34" s="81">
        <v>1.0</v>
      </c>
      <c r="J34" s="81">
        <v>1.0</v>
      </c>
      <c r="K34" s="81">
        <v>1.0</v>
      </c>
      <c r="L34" s="81">
        <v>1.0</v>
      </c>
      <c r="M34" s="81">
        <v>1.0</v>
      </c>
      <c r="N34" s="82">
        <v>1.0</v>
      </c>
      <c r="O34" s="8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84"/>
      <c r="C35" s="65" t="s">
        <v>46</v>
      </c>
      <c r="D35" s="66" t="s">
        <v>47</v>
      </c>
      <c r="E35" s="66" t="s">
        <v>48</v>
      </c>
      <c r="F35" s="66" t="s">
        <v>49</v>
      </c>
      <c r="G35" s="66" t="s">
        <v>50</v>
      </c>
      <c r="H35" s="66" t="s">
        <v>51</v>
      </c>
      <c r="I35" s="66" t="s">
        <v>52</v>
      </c>
      <c r="J35" s="66" t="s">
        <v>53</v>
      </c>
      <c r="K35" s="66" t="s">
        <v>54</v>
      </c>
      <c r="L35" s="66" t="s">
        <v>55</v>
      </c>
      <c r="M35" s="66" t="s">
        <v>56</v>
      </c>
      <c r="N35" s="67" t="s">
        <v>57</v>
      </c>
      <c r="O35" s="85" t="s">
        <v>62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69" t="s">
        <v>63</v>
      </c>
      <c r="C36" s="86">
        <f t="shared" ref="C36:N36" si="2">C32*C33*C31</f>
        <v>2610</v>
      </c>
      <c r="D36" s="87">
        <f t="shared" si="2"/>
        <v>2610</v>
      </c>
      <c r="E36" s="87">
        <f t="shared" si="2"/>
        <v>2610</v>
      </c>
      <c r="F36" s="87">
        <f t="shared" si="2"/>
        <v>2610</v>
      </c>
      <c r="G36" s="87">
        <f t="shared" si="2"/>
        <v>2610</v>
      </c>
      <c r="H36" s="87">
        <f t="shared" si="2"/>
        <v>2610</v>
      </c>
      <c r="I36" s="87">
        <f t="shared" si="2"/>
        <v>2610</v>
      </c>
      <c r="J36" s="87">
        <f t="shared" si="2"/>
        <v>2610</v>
      </c>
      <c r="K36" s="87">
        <f t="shared" si="2"/>
        <v>2610</v>
      </c>
      <c r="L36" s="87">
        <f t="shared" si="2"/>
        <v>2610</v>
      </c>
      <c r="M36" s="87">
        <f t="shared" si="2"/>
        <v>2610</v>
      </c>
      <c r="N36" s="88">
        <f t="shared" si="2"/>
        <v>2610</v>
      </c>
      <c r="O36" s="89">
        <f t="shared" ref="O36:O38" si="4">SUM(C36:N36)</f>
        <v>31320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/>
      <c r="B37" s="90" t="s">
        <v>64</v>
      </c>
      <c r="C37" s="91">
        <f t="shared" ref="C37:N37" si="3">$C$27*C34</f>
        <v>0</v>
      </c>
      <c r="D37" s="92">
        <f t="shared" si="3"/>
        <v>0</v>
      </c>
      <c r="E37" s="92">
        <f t="shared" si="3"/>
        <v>0</v>
      </c>
      <c r="F37" s="92">
        <f t="shared" si="3"/>
        <v>0</v>
      </c>
      <c r="G37" s="92">
        <f t="shared" si="3"/>
        <v>0</v>
      </c>
      <c r="H37" s="92">
        <f t="shared" si="3"/>
        <v>0</v>
      </c>
      <c r="I37" s="92">
        <f t="shared" si="3"/>
        <v>0</v>
      </c>
      <c r="J37" s="92">
        <f t="shared" si="3"/>
        <v>0</v>
      </c>
      <c r="K37" s="92">
        <f t="shared" si="3"/>
        <v>0</v>
      </c>
      <c r="L37" s="92">
        <f t="shared" si="3"/>
        <v>0</v>
      </c>
      <c r="M37" s="92">
        <f t="shared" si="3"/>
        <v>0</v>
      </c>
      <c r="N37" s="93">
        <f t="shared" si="3"/>
        <v>0</v>
      </c>
      <c r="O37" s="94">
        <f t="shared" si="4"/>
        <v>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5"/>
      <c r="B38" s="95" t="s">
        <v>65</v>
      </c>
      <c r="C38" s="96">
        <f t="shared" ref="C38:N38" si="5">C31*C32*C33+C37</f>
        <v>2610</v>
      </c>
      <c r="D38" s="97">
        <f t="shared" si="5"/>
        <v>2610</v>
      </c>
      <c r="E38" s="97">
        <f t="shared" si="5"/>
        <v>2610</v>
      </c>
      <c r="F38" s="97">
        <f t="shared" si="5"/>
        <v>2610</v>
      </c>
      <c r="G38" s="97">
        <f t="shared" si="5"/>
        <v>2610</v>
      </c>
      <c r="H38" s="97">
        <f t="shared" si="5"/>
        <v>2610</v>
      </c>
      <c r="I38" s="97">
        <f t="shared" si="5"/>
        <v>2610</v>
      </c>
      <c r="J38" s="97">
        <f t="shared" si="5"/>
        <v>2610</v>
      </c>
      <c r="K38" s="97">
        <f t="shared" si="5"/>
        <v>2610</v>
      </c>
      <c r="L38" s="97">
        <f t="shared" si="5"/>
        <v>2610</v>
      </c>
      <c r="M38" s="97">
        <f t="shared" si="5"/>
        <v>2610</v>
      </c>
      <c r="N38" s="98">
        <f t="shared" si="5"/>
        <v>2610</v>
      </c>
      <c r="O38" s="99">
        <f t="shared" si="4"/>
        <v>31320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5"/>
      <c r="B39" s="18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2"/>
      <c r="O39" s="10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5"/>
      <c r="B40" s="104" t="s">
        <v>66</v>
      </c>
      <c r="C40" s="105">
        <f t="shared" ref="C40:N40" si="6">$C$23*C36</f>
        <v>0</v>
      </c>
      <c r="D40" s="106">
        <f t="shared" si="6"/>
        <v>0</v>
      </c>
      <c r="E40" s="106">
        <f t="shared" si="6"/>
        <v>0</v>
      </c>
      <c r="F40" s="106">
        <f t="shared" si="6"/>
        <v>0</v>
      </c>
      <c r="G40" s="106">
        <f t="shared" si="6"/>
        <v>0</v>
      </c>
      <c r="H40" s="106">
        <f t="shared" si="6"/>
        <v>0</v>
      </c>
      <c r="I40" s="106">
        <f t="shared" si="6"/>
        <v>0</v>
      </c>
      <c r="J40" s="106">
        <f t="shared" si="6"/>
        <v>0</v>
      </c>
      <c r="K40" s="106">
        <f t="shared" si="6"/>
        <v>0</v>
      </c>
      <c r="L40" s="106">
        <f t="shared" si="6"/>
        <v>0</v>
      </c>
      <c r="M40" s="106">
        <f t="shared" si="6"/>
        <v>0</v>
      </c>
      <c r="N40" s="107">
        <f t="shared" si="6"/>
        <v>0</v>
      </c>
      <c r="O40" s="108">
        <f>SUM(N40)</f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5"/>
      <c r="B41" s="104" t="s">
        <v>67</v>
      </c>
      <c r="C41" s="100">
        <f t="shared" ref="C41:N41" si="7">$C$24*C34</f>
        <v>0</v>
      </c>
      <c r="D41" s="101">
        <f t="shared" si="7"/>
        <v>0</v>
      </c>
      <c r="E41" s="101">
        <f t="shared" si="7"/>
        <v>0</v>
      </c>
      <c r="F41" s="101">
        <f t="shared" si="7"/>
        <v>0</v>
      </c>
      <c r="G41" s="101">
        <f t="shared" si="7"/>
        <v>0</v>
      </c>
      <c r="H41" s="101">
        <f t="shared" si="7"/>
        <v>0</v>
      </c>
      <c r="I41" s="101">
        <f t="shared" si="7"/>
        <v>0</v>
      </c>
      <c r="J41" s="101">
        <f t="shared" si="7"/>
        <v>0</v>
      </c>
      <c r="K41" s="101">
        <f t="shared" si="7"/>
        <v>0</v>
      </c>
      <c r="L41" s="101">
        <f t="shared" si="7"/>
        <v>0</v>
      </c>
      <c r="M41" s="101">
        <f t="shared" si="7"/>
        <v>0</v>
      </c>
      <c r="N41" s="102">
        <f t="shared" si="7"/>
        <v>0</v>
      </c>
      <c r="O41" s="109">
        <f t="shared" ref="O41:O44" si="9">SUM(C41:N41)</f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5"/>
      <c r="B42" s="104" t="s">
        <v>68</v>
      </c>
      <c r="C42" s="100">
        <f t="shared" ref="C42:N42" si="8">$C$25*C32*C33*C31</f>
        <v>0</v>
      </c>
      <c r="D42" s="101">
        <f t="shared" si="8"/>
        <v>0</v>
      </c>
      <c r="E42" s="101">
        <f t="shared" si="8"/>
        <v>0</v>
      </c>
      <c r="F42" s="101">
        <f t="shared" si="8"/>
        <v>0</v>
      </c>
      <c r="G42" s="101">
        <f t="shared" si="8"/>
        <v>0</v>
      </c>
      <c r="H42" s="101">
        <f t="shared" si="8"/>
        <v>0</v>
      </c>
      <c r="I42" s="101">
        <f t="shared" si="8"/>
        <v>0</v>
      </c>
      <c r="J42" s="101">
        <f t="shared" si="8"/>
        <v>0</v>
      </c>
      <c r="K42" s="101">
        <f t="shared" si="8"/>
        <v>0</v>
      </c>
      <c r="L42" s="101">
        <f t="shared" si="8"/>
        <v>0</v>
      </c>
      <c r="M42" s="101">
        <f t="shared" si="8"/>
        <v>0</v>
      </c>
      <c r="N42" s="102">
        <f t="shared" si="8"/>
        <v>0</v>
      </c>
      <c r="O42" s="109">
        <f t="shared" si="9"/>
        <v>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5"/>
      <c r="B43" s="90" t="s">
        <v>69</v>
      </c>
      <c r="C43" s="91">
        <f t="shared" ref="C43:N43" si="10">$C$26*C34</f>
        <v>0</v>
      </c>
      <c r="D43" s="92">
        <f t="shared" si="10"/>
        <v>0</v>
      </c>
      <c r="E43" s="92">
        <f t="shared" si="10"/>
        <v>0</v>
      </c>
      <c r="F43" s="92">
        <f t="shared" si="10"/>
        <v>0</v>
      </c>
      <c r="G43" s="92">
        <f t="shared" si="10"/>
        <v>0</v>
      </c>
      <c r="H43" s="92">
        <f t="shared" si="10"/>
        <v>0</v>
      </c>
      <c r="I43" s="92">
        <f t="shared" si="10"/>
        <v>0</v>
      </c>
      <c r="J43" s="92">
        <f t="shared" si="10"/>
        <v>0</v>
      </c>
      <c r="K43" s="92">
        <f t="shared" si="10"/>
        <v>0</v>
      </c>
      <c r="L43" s="92">
        <f t="shared" si="10"/>
        <v>0</v>
      </c>
      <c r="M43" s="92">
        <f t="shared" si="10"/>
        <v>0</v>
      </c>
      <c r="N43" s="93">
        <f t="shared" si="10"/>
        <v>0</v>
      </c>
      <c r="O43" s="94">
        <f t="shared" si="9"/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5"/>
      <c r="B44" s="95" t="s">
        <v>70</v>
      </c>
      <c r="C44" s="110">
        <f t="shared" ref="C44:N44" si="11">SUM(C40:C43)</f>
        <v>0</v>
      </c>
      <c r="D44" s="111">
        <f t="shared" si="11"/>
        <v>0</v>
      </c>
      <c r="E44" s="111">
        <f t="shared" si="11"/>
        <v>0</v>
      </c>
      <c r="F44" s="111">
        <f t="shared" si="11"/>
        <v>0</v>
      </c>
      <c r="G44" s="111">
        <f t="shared" si="11"/>
        <v>0</v>
      </c>
      <c r="H44" s="111">
        <f t="shared" si="11"/>
        <v>0</v>
      </c>
      <c r="I44" s="111">
        <f t="shared" si="11"/>
        <v>0</v>
      </c>
      <c r="J44" s="111">
        <f t="shared" si="11"/>
        <v>0</v>
      </c>
      <c r="K44" s="111">
        <f t="shared" si="11"/>
        <v>0</v>
      </c>
      <c r="L44" s="111">
        <f t="shared" si="11"/>
        <v>0</v>
      </c>
      <c r="M44" s="111">
        <f t="shared" si="11"/>
        <v>0</v>
      </c>
      <c r="N44" s="112">
        <f t="shared" si="11"/>
        <v>0</v>
      </c>
      <c r="O44" s="99">
        <f t="shared" si="9"/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5"/>
      <c r="B45" s="18"/>
      <c r="C45" s="113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5"/>
      <c r="O45" s="10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5"/>
      <c r="B46" s="104" t="s">
        <v>71</v>
      </c>
      <c r="C46" s="100">
        <f t="shared" ref="C46:N46" si="12">C38-C44</f>
        <v>2610</v>
      </c>
      <c r="D46" s="101">
        <f t="shared" si="12"/>
        <v>2610</v>
      </c>
      <c r="E46" s="101">
        <f t="shared" si="12"/>
        <v>2610</v>
      </c>
      <c r="F46" s="101">
        <f t="shared" si="12"/>
        <v>2610</v>
      </c>
      <c r="G46" s="101">
        <f t="shared" si="12"/>
        <v>2610</v>
      </c>
      <c r="H46" s="101">
        <f t="shared" si="12"/>
        <v>2610</v>
      </c>
      <c r="I46" s="101">
        <f t="shared" si="12"/>
        <v>2610</v>
      </c>
      <c r="J46" s="101">
        <f t="shared" si="12"/>
        <v>2610</v>
      </c>
      <c r="K46" s="101">
        <f t="shared" si="12"/>
        <v>2610</v>
      </c>
      <c r="L46" s="101">
        <f t="shared" si="12"/>
        <v>2610</v>
      </c>
      <c r="M46" s="101">
        <f t="shared" si="12"/>
        <v>2610</v>
      </c>
      <c r="N46" s="102">
        <f t="shared" si="12"/>
        <v>2610</v>
      </c>
      <c r="O46" s="109">
        <f>SUM(C46:N46)</f>
        <v>31320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5"/>
      <c r="B47" s="18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5"/>
      <c r="O47" s="10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5"/>
      <c r="B48" s="104" t="s">
        <v>72</v>
      </c>
      <c r="C48" s="100">
        <f t="shared" ref="C48:N48" si="13">$C$20</f>
        <v>5068.666667</v>
      </c>
      <c r="D48" s="101">
        <f t="shared" si="13"/>
        <v>5068.666667</v>
      </c>
      <c r="E48" s="101">
        <f t="shared" si="13"/>
        <v>5068.666667</v>
      </c>
      <c r="F48" s="101">
        <f t="shared" si="13"/>
        <v>5068.666667</v>
      </c>
      <c r="G48" s="101">
        <f t="shared" si="13"/>
        <v>5068.666667</v>
      </c>
      <c r="H48" s="101">
        <f t="shared" si="13"/>
        <v>5068.666667</v>
      </c>
      <c r="I48" s="101">
        <f t="shared" si="13"/>
        <v>5068.666667</v>
      </c>
      <c r="J48" s="101">
        <f t="shared" si="13"/>
        <v>5068.666667</v>
      </c>
      <c r="K48" s="101">
        <f t="shared" si="13"/>
        <v>5068.666667</v>
      </c>
      <c r="L48" s="101">
        <f t="shared" si="13"/>
        <v>5068.666667</v>
      </c>
      <c r="M48" s="101">
        <f t="shared" si="13"/>
        <v>5068.666667</v>
      </c>
      <c r="N48" s="102">
        <f t="shared" si="13"/>
        <v>5068.666667</v>
      </c>
      <c r="O48" s="109">
        <f t="shared" ref="O48:O53" si="15">SUM(C48:N48)</f>
        <v>60824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5"/>
      <c r="B49" s="104" t="s">
        <v>73</v>
      </c>
      <c r="C49" s="100">
        <f t="shared" ref="C49:N49" si="14">$C$16</f>
        <v>1</v>
      </c>
      <c r="D49" s="101">
        <f t="shared" si="14"/>
        <v>1</v>
      </c>
      <c r="E49" s="101">
        <f t="shared" si="14"/>
        <v>1</v>
      </c>
      <c r="F49" s="101">
        <f t="shared" si="14"/>
        <v>1</v>
      </c>
      <c r="G49" s="101">
        <f t="shared" si="14"/>
        <v>1</v>
      </c>
      <c r="H49" s="101">
        <f t="shared" si="14"/>
        <v>1</v>
      </c>
      <c r="I49" s="101">
        <f t="shared" si="14"/>
        <v>1</v>
      </c>
      <c r="J49" s="101">
        <f t="shared" si="14"/>
        <v>1</v>
      </c>
      <c r="K49" s="101">
        <f t="shared" si="14"/>
        <v>1</v>
      </c>
      <c r="L49" s="101">
        <f t="shared" si="14"/>
        <v>1</v>
      </c>
      <c r="M49" s="101">
        <f t="shared" si="14"/>
        <v>1</v>
      </c>
      <c r="N49" s="102">
        <f t="shared" si="14"/>
        <v>1</v>
      </c>
      <c r="O49" s="109">
        <f t="shared" si="15"/>
        <v>12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5"/>
      <c r="B50" s="104" t="s">
        <v>74</v>
      </c>
      <c r="C50" s="100">
        <f t="shared" ref="C50:N50" si="16">$C$17</f>
        <v>1</v>
      </c>
      <c r="D50" s="101">
        <f t="shared" si="16"/>
        <v>1</v>
      </c>
      <c r="E50" s="101">
        <f t="shared" si="16"/>
        <v>1</v>
      </c>
      <c r="F50" s="101">
        <f t="shared" si="16"/>
        <v>1</v>
      </c>
      <c r="G50" s="101">
        <f t="shared" si="16"/>
        <v>1</v>
      </c>
      <c r="H50" s="101">
        <f t="shared" si="16"/>
        <v>1</v>
      </c>
      <c r="I50" s="101">
        <f t="shared" si="16"/>
        <v>1</v>
      </c>
      <c r="J50" s="101">
        <f t="shared" si="16"/>
        <v>1</v>
      </c>
      <c r="K50" s="101">
        <f t="shared" si="16"/>
        <v>1</v>
      </c>
      <c r="L50" s="101">
        <f t="shared" si="16"/>
        <v>1</v>
      </c>
      <c r="M50" s="101">
        <f t="shared" si="16"/>
        <v>1</v>
      </c>
      <c r="N50" s="102">
        <f t="shared" si="16"/>
        <v>1</v>
      </c>
      <c r="O50" s="109">
        <f t="shared" si="15"/>
        <v>12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5"/>
      <c r="B51" s="104" t="s">
        <v>75</v>
      </c>
      <c r="C51" s="100">
        <f t="shared" ref="C51:N51" si="17">$C$18</f>
        <v>180</v>
      </c>
      <c r="D51" s="101">
        <f t="shared" si="17"/>
        <v>180</v>
      </c>
      <c r="E51" s="101">
        <f t="shared" si="17"/>
        <v>180</v>
      </c>
      <c r="F51" s="101">
        <f t="shared" si="17"/>
        <v>180</v>
      </c>
      <c r="G51" s="101">
        <f t="shared" si="17"/>
        <v>180</v>
      </c>
      <c r="H51" s="101">
        <f t="shared" si="17"/>
        <v>180</v>
      </c>
      <c r="I51" s="101">
        <f t="shared" si="17"/>
        <v>180</v>
      </c>
      <c r="J51" s="101">
        <f t="shared" si="17"/>
        <v>180</v>
      </c>
      <c r="K51" s="101">
        <f t="shared" si="17"/>
        <v>180</v>
      </c>
      <c r="L51" s="101">
        <f t="shared" si="17"/>
        <v>180</v>
      </c>
      <c r="M51" s="101">
        <f t="shared" si="17"/>
        <v>180</v>
      </c>
      <c r="N51" s="102">
        <f t="shared" si="17"/>
        <v>180</v>
      </c>
      <c r="O51" s="109">
        <f t="shared" si="15"/>
        <v>2160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5"/>
      <c r="B52" s="90" t="s">
        <v>76</v>
      </c>
      <c r="C52" s="91">
        <f t="shared" ref="C52:N52" si="18">$C$19</f>
        <v>1</v>
      </c>
      <c r="D52" s="92">
        <f t="shared" si="18"/>
        <v>1</v>
      </c>
      <c r="E52" s="92">
        <f t="shared" si="18"/>
        <v>1</v>
      </c>
      <c r="F52" s="92">
        <f t="shared" si="18"/>
        <v>1</v>
      </c>
      <c r="G52" s="92">
        <f t="shared" si="18"/>
        <v>1</v>
      </c>
      <c r="H52" s="92">
        <f t="shared" si="18"/>
        <v>1</v>
      </c>
      <c r="I52" s="92">
        <f t="shared" si="18"/>
        <v>1</v>
      </c>
      <c r="J52" s="92">
        <f t="shared" si="18"/>
        <v>1</v>
      </c>
      <c r="K52" s="92">
        <f t="shared" si="18"/>
        <v>1</v>
      </c>
      <c r="L52" s="92">
        <f t="shared" si="18"/>
        <v>1</v>
      </c>
      <c r="M52" s="92">
        <f t="shared" si="18"/>
        <v>1</v>
      </c>
      <c r="N52" s="93">
        <f t="shared" si="18"/>
        <v>1</v>
      </c>
      <c r="O52" s="94">
        <f t="shared" si="15"/>
        <v>12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/>
      <c r="B53" s="116" t="s">
        <v>77</v>
      </c>
      <c r="C53" s="117">
        <f t="shared" ref="C53:N53" si="19">SUM(C48:C52)</f>
        <v>5251.666667</v>
      </c>
      <c r="D53" s="118">
        <f t="shared" si="19"/>
        <v>5251.666667</v>
      </c>
      <c r="E53" s="118">
        <f t="shared" si="19"/>
        <v>5251.666667</v>
      </c>
      <c r="F53" s="118">
        <f t="shared" si="19"/>
        <v>5251.666667</v>
      </c>
      <c r="G53" s="118">
        <f t="shared" si="19"/>
        <v>5251.666667</v>
      </c>
      <c r="H53" s="118">
        <f t="shared" si="19"/>
        <v>5251.666667</v>
      </c>
      <c r="I53" s="118">
        <f t="shared" si="19"/>
        <v>5251.666667</v>
      </c>
      <c r="J53" s="118">
        <f t="shared" si="19"/>
        <v>5251.666667</v>
      </c>
      <c r="K53" s="118">
        <f t="shared" si="19"/>
        <v>5251.666667</v>
      </c>
      <c r="L53" s="118">
        <f t="shared" si="19"/>
        <v>5251.666667</v>
      </c>
      <c r="M53" s="118">
        <f t="shared" si="19"/>
        <v>5251.666667</v>
      </c>
      <c r="N53" s="119">
        <f t="shared" si="19"/>
        <v>5251.666667</v>
      </c>
      <c r="O53" s="120">
        <f t="shared" si="15"/>
        <v>63020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23" t="s">
        <v>78</v>
      </c>
      <c r="C55" s="124">
        <f t="shared" ref="C55:N55" si="20">C38-C44-C53</f>
        <v>-2641.666667</v>
      </c>
      <c r="D55" s="125">
        <f t="shared" si="20"/>
        <v>-2641.666667</v>
      </c>
      <c r="E55" s="125">
        <f t="shared" si="20"/>
        <v>-2641.666667</v>
      </c>
      <c r="F55" s="125">
        <f t="shared" si="20"/>
        <v>-2641.666667</v>
      </c>
      <c r="G55" s="125">
        <f t="shared" si="20"/>
        <v>-2641.666667</v>
      </c>
      <c r="H55" s="125">
        <f t="shared" si="20"/>
        <v>-2641.666667</v>
      </c>
      <c r="I55" s="125">
        <f t="shared" si="20"/>
        <v>-2641.666667</v>
      </c>
      <c r="J55" s="125">
        <f t="shared" si="20"/>
        <v>-2641.666667</v>
      </c>
      <c r="K55" s="125">
        <f t="shared" si="20"/>
        <v>-2641.666667</v>
      </c>
      <c r="L55" s="125">
        <f t="shared" si="20"/>
        <v>-2641.666667</v>
      </c>
      <c r="M55" s="125">
        <f t="shared" si="20"/>
        <v>-2641.666667</v>
      </c>
      <c r="N55" s="126">
        <f t="shared" si="20"/>
        <v>-2641.666667</v>
      </c>
      <c r="O55" s="127">
        <f>SUM(C55:N55)</f>
        <v>-31700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41"/>
      <c r="C56" s="57">
        <f>SUM(C55:N55)</f>
        <v>-31700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12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6"/>
      <c r="C57" s="14"/>
      <c r="D57" s="14"/>
      <c r="E57" s="14"/>
      <c r="F57" s="6"/>
      <c r="G57" s="6"/>
      <c r="H57" s="6"/>
      <c r="I57" s="129"/>
      <c r="J57" s="129"/>
      <c r="K57" s="129"/>
      <c r="L57" s="129"/>
      <c r="M57" s="129"/>
      <c r="N57" s="129"/>
      <c r="O57" s="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46"/>
      <c r="C58" s="130" t="s">
        <v>79</v>
      </c>
      <c r="D58" s="131"/>
      <c r="E58" s="84"/>
      <c r="F58" s="132"/>
      <c r="G58" s="14"/>
      <c r="H58" s="14"/>
      <c r="I58" s="6"/>
      <c r="J58" s="6"/>
      <c r="K58" s="6"/>
      <c r="L58" s="6"/>
      <c r="M58" s="6"/>
      <c r="N58" s="6"/>
      <c r="O58" s="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46"/>
      <c r="C59" s="133">
        <v>0.0</v>
      </c>
      <c r="D59" s="134">
        <v>1.0</v>
      </c>
      <c r="E59" s="134">
        <f t="shared" ref="E59:H59" si="21">D59+1</f>
        <v>2</v>
      </c>
      <c r="F59" s="134">
        <f t="shared" si="21"/>
        <v>3</v>
      </c>
      <c r="G59" s="134">
        <f t="shared" si="21"/>
        <v>4</v>
      </c>
      <c r="H59" s="135">
        <f t="shared" si="21"/>
        <v>5</v>
      </c>
      <c r="I59" s="22"/>
      <c r="J59" s="6"/>
      <c r="K59" s="6"/>
      <c r="L59" s="6"/>
      <c r="M59" s="6"/>
      <c r="N59" s="6"/>
      <c r="O59" s="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6"/>
      <c r="B60" s="137"/>
      <c r="C60" s="138">
        <f>-G6</f>
        <v>-180251</v>
      </c>
      <c r="D60" s="45">
        <f t="shared" ref="D60:H60" si="22">$O$55*(1-$C$9)</f>
        <v>-31383</v>
      </c>
      <c r="E60" s="45">
        <f t="shared" si="22"/>
        <v>-31383</v>
      </c>
      <c r="F60" s="45">
        <f t="shared" si="22"/>
        <v>-31383</v>
      </c>
      <c r="G60" s="45">
        <f t="shared" si="22"/>
        <v>-31383</v>
      </c>
      <c r="H60" s="139">
        <f t="shared" si="22"/>
        <v>-31383</v>
      </c>
      <c r="I60" s="140"/>
      <c r="J60" s="141"/>
      <c r="K60" s="141"/>
      <c r="L60" s="141"/>
      <c r="M60" s="141"/>
      <c r="N60" s="141"/>
      <c r="O60" s="14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C3:N3"/>
  </mergeCells>
  <conditionalFormatting sqref="C10 C28 C40:O40 C44:N44">
    <cfRule type="cellIs" dxfId="0" priority="1" stopIfTrue="1" operator="lessThan">
      <formula>0</formula>
    </cfRule>
  </conditionalFormatting>
  <hyperlinks>
    <hyperlink r:id="rId2" ref="C4"/>
    <hyperlink r:id="rId3" ref="H4"/>
  </hyperlinks>
  <printOptions/>
  <pageMargins bottom="0.75" footer="0.0" header="0.0" left="0.7" right="0.7" top="0.75"/>
  <pageSetup orientation="portrait"/>
  <headerFooter>
    <oddFooter>&amp;C000000&amp;P</oddFooter>
  </headerFoo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35.88"/>
    <col customWidth="1" min="3" max="3" width="17.38"/>
    <col customWidth="1" min="4" max="4" width="14.63"/>
    <col customWidth="1" min="5" max="5" width="15.38"/>
    <col customWidth="1" min="6" max="6" width="14.63"/>
    <col customWidth="1" min="7" max="7" width="14.25"/>
    <col customWidth="1" min="8" max="8" width="15.38"/>
    <col customWidth="1" min="9" max="10" width="15.75"/>
    <col customWidth="1" min="11" max="11" width="15.0"/>
    <col customWidth="1" min="12" max="12" width="14.25"/>
    <col customWidth="1" min="13" max="13" width="14.63"/>
    <col customWidth="1" min="14" max="14" width="13.88"/>
    <col customWidth="1" min="15" max="15" width="17.88"/>
    <col customWidth="1" min="16" max="26" width="12.1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/>
      <c r="B3" s="6"/>
      <c r="C3" s="8" t="s">
        <v>83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/>
      <c r="B4" s="6"/>
      <c r="C4" s="12"/>
      <c r="D4" s="6"/>
      <c r="E4" s="6"/>
      <c r="F4" s="6"/>
      <c r="G4" s="6"/>
      <c r="H4" s="12"/>
      <c r="I4" s="12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/>
      <c r="B5" s="13" t="s">
        <v>2</v>
      </c>
      <c r="C5" s="14"/>
      <c r="D5" s="6"/>
      <c r="E5" s="13" t="s">
        <v>3</v>
      </c>
      <c r="F5" s="14"/>
      <c r="G5" s="14"/>
      <c r="H5" s="6"/>
      <c r="I5" s="6"/>
      <c r="J5" s="6"/>
      <c r="K5" s="6"/>
      <c r="L5" s="6"/>
      <c r="M5" s="6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 t="s">
        <v>4</v>
      </c>
      <c r="C6" s="17">
        <v>1100000.0</v>
      </c>
      <c r="D6" s="18"/>
      <c r="E6" s="19" t="s">
        <v>5</v>
      </c>
      <c r="F6" s="20"/>
      <c r="G6" s="21">
        <f>SUM(C7:C8)</f>
        <v>110001</v>
      </c>
      <c r="H6" s="22"/>
      <c r="I6" s="23" t="s">
        <v>6</v>
      </c>
      <c r="J6" s="24" t="s">
        <v>7</v>
      </c>
      <c r="K6" s="23" t="s">
        <v>8</v>
      </c>
      <c r="L6" s="6"/>
      <c r="M6" s="6"/>
      <c r="N6" s="6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/>
      <c r="B7" s="25" t="s">
        <v>9</v>
      </c>
      <c r="C7" s="26">
        <v>110000.0</v>
      </c>
      <c r="D7" s="18"/>
      <c r="E7" s="27" t="s">
        <v>10</v>
      </c>
      <c r="F7" s="28"/>
      <c r="G7" s="29">
        <f>SUM(C55:N55)</f>
        <v>-61522</v>
      </c>
      <c r="H7" s="22"/>
      <c r="I7" s="23" t="s">
        <v>11</v>
      </c>
      <c r="J7" s="30">
        <f>C36*11</f>
        <v>39600</v>
      </c>
      <c r="K7" s="30">
        <f>C36*11</f>
        <v>39600</v>
      </c>
      <c r="L7" s="30"/>
      <c r="M7" s="6"/>
      <c r="N7" s="6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5"/>
      <c r="B8" s="25" t="s">
        <v>12</v>
      </c>
      <c r="C8" s="26">
        <v>1.0</v>
      </c>
      <c r="D8" s="18"/>
      <c r="E8" s="27" t="s">
        <v>13</v>
      </c>
      <c r="F8" s="28"/>
      <c r="G8" s="29">
        <f>G7*(1-C9)-F23</f>
        <v>-71906.78</v>
      </c>
      <c r="H8" s="22"/>
      <c r="I8" s="23" t="s">
        <v>14</v>
      </c>
      <c r="J8" s="31">
        <f>(SUM(C16,C17,C19)*12)+F23</f>
        <v>11036</v>
      </c>
      <c r="K8" s="31">
        <f>SUM(C16,C17,C19)*12</f>
        <v>36</v>
      </c>
      <c r="L8" s="31"/>
      <c r="M8" s="6"/>
      <c r="N8" s="6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/>
      <c r="B9" s="25" t="s">
        <v>15</v>
      </c>
      <c r="C9" s="32">
        <v>0.01</v>
      </c>
      <c r="D9" s="18"/>
      <c r="E9" s="33" t="s">
        <v>16</v>
      </c>
      <c r="F9" s="34"/>
      <c r="G9" s="35">
        <f>G6/G7</f>
        <v>-1.787994539</v>
      </c>
      <c r="H9" s="22"/>
      <c r="I9" s="23" t="s">
        <v>17</v>
      </c>
      <c r="J9" s="36">
        <f>C20*12+F23</f>
        <v>113526</v>
      </c>
      <c r="K9" s="36">
        <f>SUM(C13,C14,C15,C18)*12</f>
        <v>104686</v>
      </c>
      <c r="L9" s="36"/>
      <c r="M9" s="6"/>
      <c r="N9" s="6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5"/>
      <c r="B10" s="37" t="s">
        <v>18</v>
      </c>
      <c r="C10" s="38">
        <v>60000.0</v>
      </c>
      <c r="D10" s="18"/>
      <c r="E10" s="19" t="s">
        <v>19</v>
      </c>
      <c r="F10" s="20"/>
      <c r="G10" s="39">
        <f>G7/G6</f>
        <v>-0.5592858247</v>
      </c>
      <c r="H10" s="22"/>
      <c r="I10" s="23" t="s">
        <v>20</v>
      </c>
      <c r="J10" s="40">
        <f t="shared" ref="J10:K10" si="1">(J7-J8)/J9</f>
        <v>0.2516075613</v>
      </c>
      <c r="K10" s="40">
        <f t="shared" si="1"/>
        <v>0.3779301912</v>
      </c>
      <c r="L10" s="40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/>
      <c r="B11" s="41"/>
      <c r="C11" s="42"/>
      <c r="D11" s="43"/>
      <c r="E11" s="27" t="s">
        <v>21</v>
      </c>
      <c r="F11" s="28"/>
      <c r="G11" s="44" t="str">
        <f>IRR(C60:H60)</f>
        <v>#NUM!</v>
      </c>
      <c r="H11" s="22"/>
      <c r="I11" s="6"/>
      <c r="J11" s="6"/>
      <c r="K11" s="6"/>
      <c r="L11" s="6"/>
      <c r="M11" s="6"/>
      <c r="N11" s="6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/>
      <c r="B12" s="13" t="s">
        <v>22</v>
      </c>
      <c r="C12" s="45"/>
      <c r="D12" s="46"/>
      <c r="E12" s="33" t="s">
        <v>23</v>
      </c>
      <c r="F12" s="34"/>
      <c r="G12" s="47">
        <f>SUM(C10,D60:H60)/G6</f>
        <v>-2.223015245</v>
      </c>
      <c r="H12" s="22"/>
      <c r="I12" s="6"/>
      <c r="J12" s="6"/>
      <c r="K12" s="6"/>
      <c r="L12" s="6"/>
      <c r="M12" s="6"/>
      <c r="N12" s="6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5"/>
      <c r="B13" s="16" t="s">
        <v>24</v>
      </c>
      <c r="C13" s="17">
        <v>6738.0</v>
      </c>
      <c r="D13" s="22"/>
      <c r="E13" s="41"/>
      <c r="F13" s="41"/>
      <c r="G13" s="41"/>
      <c r="H13" s="6"/>
      <c r="I13" s="6"/>
      <c r="J13" s="6"/>
      <c r="K13" s="6"/>
      <c r="L13" s="6"/>
      <c r="M13" s="6"/>
      <c r="N13" s="6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5"/>
      <c r="B14" s="25" t="s">
        <v>25</v>
      </c>
      <c r="C14" s="48">
        <f>(C6*0.0125)/12</f>
        <v>1145.833333</v>
      </c>
      <c r="D14" s="22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5"/>
      <c r="B15" s="25" t="s">
        <v>26</v>
      </c>
      <c r="C15" s="48">
        <f>((C6-C7)*0.008)/12</f>
        <v>660</v>
      </c>
      <c r="D15" s="22"/>
      <c r="E15" s="13" t="s">
        <v>27</v>
      </c>
      <c r="F15" s="45"/>
      <c r="G15" s="6"/>
      <c r="H15" s="6"/>
      <c r="I15" s="6"/>
      <c r="J15" s="6"/>
      <c r="K15" s="6"/>
      <c r="L15" s="6"/>
      <c r="M15" s="6"/>
      <c r="N15" s="6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/>
      <c r="B16" s="25" t="s">
        <v>28</v>
      </c>
      <c r="C16" s="26">
        <v>1.0</v>
      </c>
      <c r="D16" s="49"/>
      <c r="E16" s="16" t="s">
        <v>29</v>
      </c>
      <c r="F16" s="50">
        <f>(C6/100*1)</f>
        <v>11000</v>
      </c>
      <c r="G16" s="22"/>
      <c r="H16" s="6"/>
      <c r="I16" s="6"/>
      <c r="J16" s="6"/>
      <c r="K16" s="6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/>
      <c r="B17" s="25" t="s">
        <v>30</v>
      </c>
      <c r="C17" s="26">
        <v>1.0</v>
      </c>
      <c r="D17" s="49"/>
      <c r="E17" s="25" t="s">
        <v>31</v>
      </c>
      <c r="F17" s="26">
        <v>0.0</v>
      </c>
      <c r="G17" s="22"/>
      <c r="H17" s="6"/>
      <c r="I17" s="6"/>
      <c r="J17" s="6"/>
      <c r="K17" s="6"/>
      <c r="L17" s="6"/>
      <c r="M17" s="6"/>
      <c r="N17" s="6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5"/>
      <c r="B18" s="25" t="s">
        <v>32</v>
      </c>
      <c r="C18" s="26">
        <v>180.0</v>
      </c>
      <c r="D18" s="49"/>
      <c r="E18" s="25" t="s">
        <v>33</v>
      </c>
      <c r="F18" s="26">
        <v>0.0</v>
      </c>
      <c r="G18" s="51" t="s">
        <v>34</v>
      </c>
      <c r="H18" s="6"/>
      <c r="I18" s="6"/>
      <c r="J18" s="6"/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5"/>
      <c r="B19" s="52" t="s">
        <v>35</v>
      </c>
      <c r="C19" s="53">
        <v>1.0</v>
      </c>
      <c r="D19" s="49"/>
      <c r="E19" s="25" t="s">
        <v>36</v>
      </c>
      <c r="F19" s="26">
        <v>0.0</v>
      </c>
      <c r="G19" s="22"/>
      <c r="H19" s="6"/>
      <c r="I19" s="6"/>
      <c r="J19" s="6"/>
      <c r="K19" s="6"/>
      <c r="L19" s="6"/>
      <c r="M19" s="6"/>
      <c r="N19" s="6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54" t="s">
        <v>37</v>
      </c>
      <c r="C20" s="55">
        <f>SUM(C13:C15)</f>
        <v>8543.833333</v>
      </c>
      <c r="D20" s="49"/>
      <c r="E20" s="56"/>
      <c r="F20" s="48"/>
      <c r="G20" s="22"/>
      <c r="H20" s="6"/>
      <c r="I20" s="6"/>
      <c r="J20" s="6"/>
      <c r="K20" s="6"/>
      <c r="L20" s="6"/>
      <c r="M20" s="6"/>
      <c r="N20" s="6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"/>
      <c r="B21" s="42"/>
      <c r="C21" s="57"/>
      <c r="D21" s="46"/>
      <c r="E21" s="56"/>
      <c r="F21" s="48"/>
      <c r="G21" s="22"/>
      <c r="H21" s="6"/>
      <c r="I21" s="6"/>
      <c r="J21" s="6"/>
      <c r="K21" s="6"/>
      <c r="L21" s="6"/>
      <c r="M21" s="6"/>
      <c r="N21" s="6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"/>
      <c r="B22" s="13" t="s">
        <v>38</v>
      </c>
      <c r="C22" s="45"/>
      <c r="D22" s="46"/>
      <c r="E22" s="58"/>
      <c r="F22" s="59"/>
      <c r="G22" s="22"/>
      <c r="H22" s="6"/>
      <c r="I22" s="6"/>
      <c r="J22" s="6"/>
      <c r="K22" s="6"/>
      <c r="L22" s="6"/>
      <c r="M22" s="6"/>
      <c r="N22" s="6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5"/>
      <c r="B23" s="16" t="s">
        <v>39</v>
      </c>
      <c r="C23" s="60">
        <v>0.0</v>
      </c>
      <c r="D23" s="49"/>
      <c r="E23" s="54" t="s">
        <v>40</v>
      </c>
      <c r="F23" s="55">
        <f>SUM(F16:F22)</f>
        <v>11000</v>
      </c>
      <c r="G23" s="22"/>
      <c r="H23" s="6"/>
      <c r="I23" s="6"/>
      <c r="J23" s="6"/>
      <c r="K23" s="6"/>
      <c r="L23" s="6"/>
      <c r="M23" s="6"/>
      <c r="N23" s="6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5"/>
      <c r="B24" s="25" t="s">
        <v>41</v>
      </c>
      <c r="C24" s="26">
        <v>0.0</v>
      </c>
      <c r="D24" s="22"/>
      <c r="E24" s="41"/>
      <c r="F24" s="41"/>
      <c r="G24" s="6"/>
      <c r="H24" s="6"/>
      <c r="I24" s="6"/>
      <c r="J24" s="6"/>
      <c r="K24" s="6"/>
      <c r="L24" s="6"/>
      <c r="M24" s="6"/>
      <c r="N24" s="6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/>
      <c r="B25" s="25" t="s">
        <v>42</v>
      </c>
      <c r="C25" s="32">
        <v>0.0</v>
      </c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5"/>
      <c r="B26" s="25" t="s">
        <v>43</v>
      </c>
      <c r="C26" s="26">
        <v>0.0</v>
      </c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37" t="s">
        <v>44</v>
      </c>
      <c r="C27" s="61">
        <v>0.0</v>
      </c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/>
      <c r="B28" s="42"/>
      <c r="C28" s="6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/>
      <c r="B29" s="63"/>
      <c r="C29" s="4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"/>
      <c r="B30" s="64" t="s">
        <v>45</v>
      </c>
      <c r="C30" s="65" t="s">
        <v>46</v>
      </c>
      <c r="D30" s="66" t="s">
        <v>47</v>
      </c>
      <c r="E30" s="66" t="s">
        <v>48</v>
      </c>
      <c r="F30" s="66" t="s">
        <v>49</v>
      </c>
      <c r="G30" s="66" t="s">
        <v>50</v>
      </c>
      <c r="H30" s="66" t="s">
        <v>51</v>
      </c>
      <c r="I30" s="66" t="s">
        <v>52</v>
      </c>
      <c r="J30" s="66" t="s">
        <v>53</v>
      </c>
      <c r="K30" s="66" t="s">
        <v>54</v>
      </c>
      <c r="L30" s="66" t="s">
        <v>55</v>
      </c>
      <c r="M30" s="66" t="s">
        <v>56</v>
      </c>
      <c r="N30" s="67" t="s">
        <v>57</v>
      </c>
      <c r="O30" s="6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5"/>
      <c r="B31" s="69" t="s">
        <v>58</v>
      </c>
      <c r="C31" s="70">
        <v>30.0</v>
      </c>
      <c r="D31" s="71">
        <v>30.0</v>
      </c>
      <c r="E31" s="71">
        <v>30.0</v>
      </c>
      <c r="F31" s="72">
        <v>30.0</v>
      </c>
      <c r="G31" s="71">
        <v>30.0</v>
      </c>
      <c r="H31" s="72">
        <v>30.0</v>
      </c>
      <c r="I31" s="71">
        <v>30.0</v>
      </c>
      <c r="J31" s="71">
        <v>30.0</v>
      </c>
      <c r="K31" s="72">
        <v>30.0</v>
      </c>
      <c r="L31" s="71">
        <v>30.0</v>
      </c>
      <c r="M31" s="72">
        <v>30.0</v>
      </c>
      <c r="N31" s="73">
        <v>30.0</v>
      </c>
      <c r="O31" s="7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/>
      <c r="B32" s="75" t="s">
        <v>59</v>
      </c>
      <c r="C32" s="76">
        <v>120.0</v>
      </c>
      <c r="D32" s="76">
        <v>120.0</v>
      </c>
      <c r="E32" s="76">
        <v>120.0</v>
      </c>
      <c r="F32" s="76">
        <v>120.0</v>
      </c>
      <c r="G32" s="76">
        <v>120.0</v>
      </c>
      <c r="H32" s="76">
        <v>120.0</v>
      </c>
      <c r="I32" s="76">
        <v>120.0</v>
      </c>
      <c r="J32" s="76">
        <v>120.0</v>
      </c>
      <c r="K32" s="76">
        <v>120.0</v>
      </c>
      <c r="L32" s="76">
        <v>120.0</v>
      </c>
      <c r="M32" s="76">
        <v>120.0</v>
      </c>
      <c r="N32" s="76">
        <v>120.0</v>
      </c>
      <c r="O32" s="7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5"/>
      <c r="B33" s="75" t="s">
        <v>60</v>
      </c>
      <c r="C33" s="77">
        <v>1.0</v>
      </c>
      <c r="D33" s="78">
        <v>1.0</v>
      </c>
      <c r="E33" s="78">
        <v>1.0</v>
      </c>
      <c r="F33" s="78">
        <v>1.0</v>
      </c>
      <c r="G33" s="78">
        <v>1.0</v>
      </c>
      <c r="H33" s="78">
        <v>1.0</v>
      </c>
      <c r="I33" s="78">
        <v>1.0</v>
      </c>
      <c r="J33" s="78">
        <v>1.0</v>
      </c>
      <c r="K33" s="78">
        <v>1.0</v>
      </c>
      <c r="L33" s="78">
        <v>1.0</v>
      </c>
      <c r="M33" s="78">
        <v>1.0</v>
      </c>
      <c r="N33" s="78">
        <v>1.0</v>
      </c>
      <c r="O33" s="7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/>
      <c r="B34" s="79" t="s">
        <v>61</v>
      </c>
      <c r="C34" s="80">
        <v>1.0</v>
      </c>
      <c r="D34" s="81">
        <v>1.0</v>
      </c>
      <c r="E34" s="81">
        <v>1.0</v>
      </c>
      <c r="F34" s="81">
        <v>1.0</v>
      </c>
      <c r="G34" s="81">
        <v>1.0</v>
      </c>
      <c r="H34" s="81">
        <v>1.0</v>
      </c>
      <c r="I34" s="81">
        <v>1.0</v>
      </c>
      <c r="J34" s="81">
        <v>1.0</v>
      </c>
      <c r="K34" s="81">
        <v>1.0</v>
      </c>
      <c r="L34" s="81">
        <v>1.0</v>
      </c>
      <c r="M34" s="81">
        <v>1.0</v>
      </c>
      <c r="N34" s="82">
        <v>1.0</v>
      </c>
      <c r="O34" s="8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84"/>
      <c r="C35" s="65" t="s">
        <v>46</v>
      </c>
      <c r="D35" s="66" t="s">
        <v>47</v>
      </c>
      <c r="E35" s="66" t="s">
        <v>48</v>
      </c>
      <c r="F35" s="66" t="s">
        <v>49</v>
      </c>
      <c r="G35" s="66" t="s">
        <v>50</v>
      </c>
      <c r="H35" s="66" t="s">
        <v>51</v>
      </c>
      <c r="I35" s="66" t="s">
        <v>52</v>
      </c>
      <c r="J35" s="66" t="s">
        <v>53</v>
      </c>
      <c r="K35" s="66" t="s">
        <v>54</v>
      </c>
      <c r="L35" s="66" t="s">
        <v>55</v>
      </c>
      <c r="M35" s="66" t="s">
        <v>56</v>
      </c>
      <c r="N35" s="67" t="s">
        <v>57</v>
      </c>
      <c r="O35" s="85" t="s">
        <v>62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69" t="s">
        <v>63</v>
      </c>
      <c r="C36" s="86">
        <f t="shared" ref="C36:N36" si="2">C32*C33*C31</f>
        <v>3600</v>
      </c>
      <c r="D36" s="87">
        <f t="shared" si="2"/>
        <v>3600</v>
      </c>
      <c r="E36" s="87">
        <f t="shared" si="2"/>
        <v>3600</v>
      </c>
      <c r="F36" s="87">
        <f t="shared" si="2"/>
        <v>3600</v>
      </c>
      <c r="G36" s="87">
        <f t="shared" si="2"/>
        <v>3600</v>
      </c>
      <c r="H36" s="87">
        <f t="shared" si="2"/>
        <v>3600</v>
      </c>
      <c r="I36" s="87">
        <f t="shared" si="2"/>
        <v>3600</v>
      </c>
      <c r="J36" s="87">
        <f t="shared" si="2"/>
        <v>3600</v>
      </c>
      <c r="K36" s="87">
        <f t="shared" si="2"/>
        <v>3600</v>
      </c>
      <c r="L36" s="87">
        <f t="shared" si="2"/>
        <v>3600</v>
      </c>
      <c r="M36" s="87">
        <f t="shared" si="2"/>
        <v>3600</v>
      </c>
      <c r="N36" s="88">
        <f t="shared" si="2"/>
        <v>3600</v>
      </c>
      <c r="O36" s="89">
        <f t="shared" ref="O36:O38" si="4">SUM(C36:N36)</f>
        <v>43200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/>
      <c r="B37" s="90" t="s">
        <v>64</v>
      </c>
      <c r="C37" s="91">
        <f t="shared" ref="C37:N37" si="3">$C$27*C34</f>
        <v>0</v>
      </c>
      <c r="D37" s="92">
        <f t="shared" si="3"/>
        <v>0</v>
      </c>
      <c r="E37" s="92">
        <f t="shared" si="3"/>
        <v>0</v>
      </c>
      <c r="F37" s="92">
        <f t="shared" si="3"/>
        <v>0</v>
      </c>
      <c r="G37" s="92">
        <f t="shared" si="3"/>
        <v>0</v>
      </c>
      <c r="H37" s="92">
        <f t="shared" si="3"/>
        <v>0</v>
      </c>
      <c r="I37" s="92">
        <f t="shared" si="3"/>
        <v>0</v>
      </c>
      <c r="J37" s="92">
        <f t="shared" si="3"/>
        <v>0</v>
      </c>
      <c r="K37" s="92">
        <f t="shared" si="3"/>
        <v>0</v>
      </c>
      <c r="L37" s="92">
        <f t="shared" si="3"/>
        <v>0</v>
      </c>
      <c r="M37" s="92">
        <f t="shared" si="3"/>
        <v>0</v>
      </c>
      <c r="N37" s="93">
        <f t="shared" si="3"/>
        <v>0</v>
      </c>
      <c r="O37" s="94">
        <f t="shared" si="4"/>
        <v>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5"/>
      <c r="B38" s="95" t="s">
        <v>65</v>
      </c>
      <c r="C38" s="96">
        <f t="shared" ref="C38:N38" si="5">C31*C32*C33+C37</f>
        <v>3600</v>
      </c>
      <c r="D38" s="97">
        <f t="shared" si="5"/>
        <v>3600</v>
      </c>
      <c r="E38" s="97">
        <f t="shared" si="5"/>
        <v>3600</v>
      </c>
      <c r="F38" s="97">
        <f t="shared" si="5"/>
        <v>3600</v>
      </c>
      <c r="G38" s="97">
        <f t="shared" si="5"/>
        <v>3600</v>
      </c>
      <c r="H38" s="97">
        <f t="shared" si="5"/>
        <v>3600</v>
      </c>
      <c r="I38" s="97">
        <f t="shared" si="5"/>
        <v>3600</v>
      </c>
      <c r="J38" s="97">
        <f t="shared" si="5"/>
        <v>3600</v>
      </c>
      <c r="K38" s="97">
        <f t="shared" si="5"/>
        <v>3600</v>
      </c>
      <c r="L38" s="97">
        <f t="shared" si="5"/>
        <v>3600</v>
      </c>
      <c r="M38" s="97">
        <f t="shared" si="5"/>
        <v>3600</v>
      </c>
      <c r="N38" s="98">
        <f t="shared" si="5"/>
        <v>3600</v>
      </c>
      <c r="O38" s="99">
        <f t="shared" si="4"/>
        <v>43200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5"/>
      <c r="B39" s="18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2"/>
      <c r="O39" s="10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5"/>
      <c r="B40" s="104" t="s">
        <v>66</v>
      </c>
      <c r="C40" s="105">
        <f t="shared" ref="C40:N40" si="6">$C$23*C36</f>
        <v>0</v>
      </c>
      <c r="D40" s="106">
        <f t="shared" si="6"/>
        <v>0</v>
      </c>
      <c r="E40" s="106">
        <f t="shared" si="6"/>
        <v>0</v>
      </c>
      <c r="F40" s="106">
        <f t="shared" si="6"/>
        <v>0</v>
      </c>
      <c r="G40" s="106">
        <f t="shared" si="6"/>
        <v>0</v>
      </c>
      <c r="H40" s="106">
        <f t="shared" si="6"/>
        <v>0</v>
      </c>
      <c r="I40" s="106">
        <f t="shared" si="6"/>
        <v>0</v>
      </c>
      <c r="J40" s="106">
        <f t="shared" si="6"/>
        <v>0</v>
      </c>
      <c r="K40" s="106">
        <f t="shared" si="6"/>
        <v>0</v>
      </c>
      <c r="L40" s="106">
        <f t="shared" si="6"/>
        <v>0</v>
      </c>
      <c r="M40" s="106">
        <f t="shared" si="6"/>
        <v>0</v>
      </c>
      <c r="N40" s="107">
        <f t="shared" si="6"/>
        <v>0</v>
      </c>
      <c r="O40" s="108">
        <f>SUM(N40)</f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5"/>
      <c r="B41" s="104" t="s">
        <v>67</v>
      </c>
      <c r="C41" s="100">
        <f t="shared" ref="C41:N41" si="7">$C$24*C34</f>
        <v>0</v>
      </c>
      <c r="D41" s="101">
        <f t="shared" si="7"/>
        <v>0</v>
      </c>
      <c r="E41" s="101">
        <f t="shared" si="7"/>
        <v>0</v>
      </c>
      <c r="F41" s="101">
        <f t="shared" si="7"/>
        <v>0</v>
      </c>
      <c r="G41" s="101">
        <f t="shared" si="7"/>
        <v>0</v>
      </c>
      <c r="H41" s="101">
        <f t="shared" si="7"/>
        <v>0</v>
      </c>
      <c r="I41" s="101">
        <f t="shared" si="7"/>
        <v>0</v>
      </c>
      <c r="J41" s="101">
        <f t="shared" si="7"/>
        <v>0</v>
      </c>
      <c r="K41" s="101">
        <f t="shared" si="7"/>
        <v>0</v>
      </c>
      <c r="L41" s="101">
        <f t="shared" si="7"/>
        <v>0</v>
      </c>
      <c r="M41" s="101">
        <f t="shared" si="7"/>
        <v>0</v>
      </c>
      <c r="N41" s="102">
        <f t="shared" si="7"/>
        <v>0</v>
      </c>
      <c r="O41" s="109">
        <f t="shared" ref="O41:O44" si="9">SUM(C41:N41)</f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5"/>
      <c r="B42" s="104" t="s">
        <v>68</v>
      </c>
      <c r="C42" s="100">
        <f t="shared" ref="C42:N42" si="8">$C$25*C32*C33*C31</f>
        <v>0</v>
      </c>
      <c r="D42" s="101">
        <f t="shared" si="8"/>
        <v>0</v>
      </c>
      <c r="E42" s="101">
        <f t="shared" si="8"/>
        <v>0</v>
      </c>
      <c r="F42" s="101">
        <f t="shared" si="8"/>
        <v>0</v>
      </c>
      <c r="G42" s="101">
        <f t="shared" si="8"/>
        <v>0</v>
      </c>
      <c r="H42" s="101">
        <f t="shared" si="8"/>
        <v>0</v>
      </c>
      <c r="I42" s="101">
        <f t="shared" si="8"/>
        <v>0</v>
      </c>
      <c r="J42" s="101">
        <f t="shared" si="8"/>
        <v>0</v>
      </c>
      <c r="K42" s="101">
        <f t="shared" si="8"/>
        <v>0</v>
      </c>
      <c r="L42" s="101">
        <f t="shared" si="8"/>
        <v>0</v>
      </c>
      <c r="M42" s="101">
        <f t="shared" si="8"/>
        <v>0</v>
      </c>
      <c r="N42" s="102">
        <f t="shared" si="8"/>
        <v>0</v>
      </c>
      <c r="O42" s="109">
        <f t="shared" si="9"/>
        <v>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5"/>
      <c r="B43" s="90" t="s">
        <v>69</v>
      </c>
      <c r="C43" s="91">
        <f t="shared" ref="C43:N43" si="10">$C$26*C34</f>
        <v>0</v>
      </c>
      <c r="D43" s="92">
        <f t="shared" si="10"/>
        <v>0</v>
      </c>
      <c r="E43" s="92">
        <f t="shared" si="10"/>
        <v>0</v>
      </c>
      <c r="F43" s="92">
        <f t="shared" si="10"/>
        <v>0</v>
      </c>
      <c r="G43" s="92">
        <f t="shared" si="10"/>
        <v>0</v>
      </c>
      <c r="H43" s="92">
        <f t="shared" si="10"/>
        <v>0</v>
      </c>
      <c r="I43" s="92">
        <f t="shared" si="10"/>
        <v>0</v>
      </c>
      <c r="J43" s="92">
        <f t="shared" si="10"/>
        <v>0</v>
      </c>
      <c r="K43" s="92">
        <f t="shared" si="10"/>
        <v>0</v>
      </c>
      <c r="L43" s="92">
        <f t="shared" si="10"/>
        <v>0</v>
      </c>
      <c r="M43" s="92">
        <f t="shared" si="10"/>
        <v>0</v>
      </c>
      <c r="N43" s="93">
        <f t="shared" si="10"/>
        <v>0</v>
      </c>
      <c r="O43" s="94">
        <f t="shared" si="9"/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5"/>
      <c r="B44" s="95" t="s">
        <v>70</v>
      </c>
      <c r="C44" s="110">
        <f t="shared" ref="C44:N44" si="11">SUM(C40:C43)</f>
        <v>0</v>
      </c>
      <c r="D44" s="111">
        <f t="shared" si="11"/>
        <v>0</v>
      </c>
      <c r="E44" s="111">
        <f t="shared" si="11"/>
        <v>0</v>
      </c>
      <c r="F44" s="111">
        <f t="shared" si="11"/>
        <v>0</v>
      </c>
      <c r="G44" s="111">
        <f t="shared" si="11"/>
        <v>0</v>
      </c>
      <c r="H44" s="111">
        <f t="shared" si="11"/>
        <v>0</v>
      </c>
      <c r="I44" s="111">
        <f t="shared" si="11"/>
        <v>0</v>
      </c>
      <c r="J44" s="111">
        <f t="shared" si="11"/>
        <v>0</v>
      </c>
      <c r="K44" s="111">
        <f t="shared" si="11"/>
        <v>0</v>
      </c>
      <c r="L44" s="111">
        <f t="shared" si="11"/>
        <v>0</v>
      </c>
      <c r="M44" s="111">
        <f t="shared" si="11"/>
        <v>0</v>
      </c>
      <c r="N44" s="112">
        <f t="shared" si="11"/>
        <v>0</v>
      </c>
      <c r="O44" s="99">
        <f t="shared" si="9"/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5"/>
      <c r="B45" s="18"/>
      <c r="C45" s="113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5"/>
      <c r="O45" s="10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5"/>
      <c r="B46" s="104" t="s">
        <v>71</v>
      </c>
      <c r="C46" s="100">
        <f t="shared" ref="C46:N46" si="12">C38-C44</f>
        <v>3600</v>
      </c>
      <c r="D46" s="101">
        <f t="shared" si="12"/>
        <v>3600</v>
      </c>
      <c r="E46" s="101">
        <f t="shared" si="12"/>
        <v>3600</v>
      </c>
      <c r="F46" s="101">
        <f t="shared" si="12"/>
        <v>3600</v>
      </c>
      <c r="G46" s="101">
        <f t="shared" si="12"/>
        <v>3600</v>
      </c>
      <c r="H46" s="101">
        <f t="shared" si="12"/>
        <v>3600</v>
      </c>
      <c r="I46" s="101">
        <f t="shared" si="12"/>
        <v>3600</v>
      </c>
      <c r="J46" s="101">
        <f t="shared" si="12"/>
        <v>3600</v>
      </c>
      <c r="K46" s="101">
        <f t="shared" si="12"/>
        <v>3600</v>
      </c>
      <c r="L46" s="101">
        <f t="shared" si="12"/>
        <v>3600</v>
      </c>
      <c r="M46" s="101">
        <f t="shared" si="12"/>
        <v>3600</v>
      </c>
      <c r="N46" s="102">
        <f t="shared" si="12"/>
        <v>3600</v>
      </c>
      <c r="O46" s="109">
        <f>SUM(C46:N46)</f>
        <v>43200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5"/>
      <c r="B47" s="18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5"/>
      <c r="O47" s="10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5"/>
      <c r="B48" s="104" t="s">
        <v>72</v>
      </c>
      <c r="C48" s="100">
        <f t="shared" ref="C48:N48" si="13">$C$20</f>
        <v>8543.833333</v>
      </c>
      <c r="D48" s="101">
        <f t="shared" si="13"/>
        <v>8543.833333</v>
      </c>
      <c r="E48" s="101">
        <f t="shared" si="13"/>
        <v>8543.833333</v>
      </c>
      <c r="F48" s="101">
        <f t="shared" si="13"/>
        <v>8543.833333</v>
      </c>
      <c r="G48" s="101">
        <f t="shared" si="13"/>
        <v>8543.833333</v>
      </c>
      <c r="H48" s="101">
        <f t="shared" si="13"/>
        <v>8543.833333</v>
      </c>
      <c r="I48" s="101">
        <f t="shared" si="13"/>
        <v>8543.833333</v>
      </c>
      <c r="J48" s="101">
        <f t="shared" si="13"/>
        <v>8543.833333</v>
      </c>
      <c r="K48" s="101">
        <f t="shared" si="13"/>
        <v>8543.833333</v>
      </c>
      <c r="L48" s="101">
        <f t="shared" si="13"/>
        <v>8543.833333</v>
      </c>
      <c r="M48" s="101">
        <f t="shared" si="13"/>
        <v>8543.833333</v>
      </c>
      <c r="N48" s="102">
        <f t="shared" si="13"/>
        <v>8543.833333</v>
      </c>
      <c r="O48" s="109">
        <f t="shared" ref="O48:O53" si="15">SUM(C48:N48)</f>
        <v>102526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5"/>
      <c r="B49" s="104" t="s">
        <v>73</v>
      </c>
      <c r="C49" s="100">
        <f t="shared" ref="C49:N49" si="14">$C$16</f>
        <v>1</v>
      </c>
      <c r="D49" s="101">
        <f t="shared" si="14"/>
        <v>1</v>
      </c>
      <c r="E49" s="101">
        <f t="shared" si="14"/>
        <v>1</v>
      </c>
      <c r="F49" s="101">
        <f t="shared" si="14"/>
        <v>1</v>
      </c>
      <c r="G49" s="101">
        <f t="shared" si="14"/>
        <v>1</v>
      </c>
      <c r="H49" s="101">
        <f t="shared" si="14"/>
        <v>1</v>
      </c>
      <c r="I49" s="101">
        <f t="shared" si="14"/>
        <v>1</v>
      </c>
      <c r="J49" s="101">
        <f t="shared" si="14"/>
        <v>1</v>
      </c>
      <c r="K49" s="101">
        <f t="shared" si="14"/>
        <v>1</v>
      </c>
      <c r="L49" s="101">
        <f t="shared" si="14"/>
        <v>1</v>
      </c>
      <c r="M49" s="101">
        <f t="shared" si="14"/>
        <v>1</v>
      </c>
      <c r="N49" s="102">
        <f t="shared" si="14"/>
        <v>1</v>
      </c>
      <c r="O49" s="109">
        <f t="shared" si="15"/>
        <v>12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5"/>
      <c r="B50" s="104" t="s">
        <v>74</v>
      </c>
      <c r="C50" s="100">
        <f t="shared" ref="C50:N50" si="16">$C$17</f>
        <v>1</v>
      </c>
      <c r="D50" s="101">
        <f t="shared" si="16"/>
        <v>1</v>
      </c>
      <c r="E50" s="101">
        <f t="shared" si="16"/>
        <v>1</v>
      </c>
      <c r="F50" s="101">
        <f t="shared" si="16"/>
        <v>1</v>
      </c>
      <c r="G50" s="101">
        <f t="shared" si="16"/>
        <v>1</v>
      </c>
      <c r="H50" s="101">
        <f t="shared" si="16"/>
        <v>1</v>
      </c>
      <c r="I50" s="101">
        <f t="shared" si="16"/>
        <v>1</v>
      </c>
      <c r="J50" s="101">
        <f t="shared" si="16"/>
        <v>1</v>
      </c>
      <c r="K50" s="101">
        <f t="shared" si="16"/>
        <v>1</v>
      </c>
      <c r="L50" s="101">
        <f t="shared" si="16"/>
        <v>1</v>
      </c>
      <c r="M50" s="101">
        <f t="shared" si="16"/>
        <v>1</v>
      </c>
      <c r="N50" s="102">
        <f t="shared" si="16"/>
        <v>1</v>
      </c>
      <c r="O50" s="109">
        <f t="shared" si="15"/>
        <v>12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5"/>
      <c r="B51" s="104" t="s">
        <v>75</v>
      </c>
      <c r="C51" s="100">
        <f t="shared" ref="C51:N51" si="17">$C$18</f>
        <v>180</v>
      </c>
      <c r="D51" s="101">
        <f t="shared" si="17"/>
        <v>180</v>
      </c>
      <c r="E51" s="101">
        <f t="shared" si="17"/>
        <v>180</v>
      </c>
      <c r="F51" s="101">
        <f t="shared" si="17"/>
        <v>180</v>
      </c>
      <c r="G51" s="101">
        <f t="shared" si="17"/>
        <v>180</v>
      </c>
      <c r="H51" s="101">
        <f t="shared" si="17"/>
        <v>180</v>
      </c>
      <c r="I51" s="101">
        <f t="shared" si="17"/>
        <v>180</v>
      </c>
      <c r="J51" s="101">
        <f t="shared" si="17"/>
        <v>180</v>
      </c>
      <c r="K51" s="101">
        <f t="shared" si="17"/>
        <v>180</v>
      </c>
      <c r="L51" s="101">
        <f t="shared" si="17"/>
        <v>180</v>
      </c>
      <c r="M51" s="101">
        <f t="shared" si="17"/>
        <v>180</v>
      </c>
      <c r="N51" s="102">
        <f t="shared" si="17"/>
        <v>180</v>
      </c>
      <c r="O51" s="109">
        <f t="shared" si="15"/>
        <v>2160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5"/>
      <c r="B52" s="90" t="s">
        <v>76</v>
      </c>
      <c r="C52" s="91">
        <f t="shared" ref="C52:N52" si="18">$C$19</f>
        <v>1</v>
      </c>
      <c r="D52" s="92">
        <f t="shared" si="18"/>
        <v>1</v>
      </c>
      <c r="E52" s="92">
        <f t="shared" si="18"/>
        <v>1</v>
      </c>
      <c r="F52" s="92">
        <f t="shared" si="18"/>
        <v>1</v>
      </c>
      <c r="G52" s="92">
        <f t="shared" si="18"/>
        <v>1</v>
      </c>
      <c r="H52" s="92">
        <f t="shared" si="18"/>
        <v>1</v>
      </c>
      <c r="I52" s="92">
        <f t="shared" si="18"/>
        <v>1</v>
      </c>
      <c r="J52" s="92">
        <f t="shared" si="18"/>
        <v>1</v>
      </c>
      <c r="K52" s="92">
        <f t="shared" si="18"/>
        <v>1</v>
      </c>
      <c r="L52" s="92">
        <f t="shared" si="18"/>
        <v>1</v>
      </c>
      <c r="M52" s="92">
        <f t="shared" si="18"/>
        <v>1</v>
      </c>
      <c r="N52" s="93">
        <f t="shared" si="18"/>
        <v>1</v>
      </c>
      <c r="O52" s="94">
        <f t="shared" si="15"/>
        <v>12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/>
      <c r="B53" s="116" t="s">
        <v>77</v>
      </c>
      <c r="C53" s="117">
        <f t="shared" ref="C53:N53" si="19">SUM(C48:C52)</f>
        <v>8726.833333</v>
      </c>
      <c r="D53" s="118">
        <f t="shared" si="19"/>
        <v>8726.833333</v>
      </c>
      <c r="E53" s="118">
        <f t="shared" si="19"/>
        <v>8726.833333</v>
      </c>
      <c r="F53" s="118">
        <f t="shared" si="19"/>
        <v>8726.833333</v>
      </c>
      <c r="G53" s="118">
        <f t="shared" si="19"/>
        <v>8726.833333</v>
      </c>
      <c r="H53" s="118">
        <f t="shared" si="19"/>
        <v>8726.833333</v>
      </c>
      <c r="I53" s="118">
        <f t="shared" si="19"/>
        <v>8726.833333</v>
      </c>
      <c r="J53" s="118">
        <f t="shared" si="19"/>
        <v>8726.833333</v>
      </c>
      <c r="K53" s="118">
        <f t="shared" si="19"/>
        <v>8726.833333</v>
      </c>
      <c r="L53" s="118">
        <f t="shared" si="19"/>
        <v>8726.833333</v>
      </c>
      <c r="M53" s="118">
        <f t="shared" si="19"/>
        <v>8726.833333</v>
      </c>
      <c r="N53" s="119">
        <f t="shared" si="19"/>
        <v>8726.833333</v>
      </c>
      <c r="O53" s="120">
        <f t="shared" si="15"/>
        <v>104722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23" t="s">
        <v>78</v>
      </c>
      <c r="C55" s="124">
        <f t="shared" ref="C55:N55" si="20">C38-C44-C53</f>
        <v>-5126.833333</v>
      </c>
      <c r="D55" s="125">
        <f t="shared" si="20"/>
        <v>-5126.833333</v>
      </c>
      <c r="E55" s="125">
        <f t="shared" si="20"/>
        <v>-5126.833333</v>
      </c>
      <c r="F55" s="125">
        <f t="shared" si="20"/>
        <v>-5126.833333</v>
      </c>
      <c r="G55" s="125">
        <f t="shared" si="20"/>
        <v>-5126.833333</v>
      </c>
      <c r="H55" s="125">
        <f t="shared" si="20"/>
        <v>-5126.833333</v>
      </c>
      <c r="I55" s="125">
        <f t="shared" si="20"/>
        <v>-5126.833333</v>
      </c>
      <c r="J55" s="125">
        <f t="shared" si="20"/>
        <v>-5126.833333</v>
      </c>
      <c r="K55" s="125">
        <f t="shared" si="20"/>
        <v>-5126.833333</v>
      </c>
      <c r="L55" s="125">
        <f t="shared" si="20"/>
        <v>-5126.833333</v>
      </c>
      <c r="M55" s="125">
        <f t="shared" si="20"/>
        <v>-5126.833333</v>
      </c>
      <c r="N55" s="126">
        <f t="shared" si="20"/>
        <v>-5126.833333</v>
      </c>
      <c r="O55" s="127">
        <f>SUM(C55:N55)</f>
        <v>-61522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41"/>
      <c r="C56" s="57">
        <f>SUM(C55:N55)</f>
        <v>-61522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12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6"/>
      <c r="C57" s="14"/>
      <c r="D57" s="14"/>
      <c r="E57" s="14"/>
      <c r="F57" s="6"/>
      <c r="G57" s="6"/>
      <c r="H57" s="6"/>
      <c r="I57" s="129"/>
      <c r="J57" s="129"/>
      <c r="K57" s="129"/>
      <c r="L57" s="129"/>
      <c r="M57" s="129"/>
      <c r="N57" s="129"/>
      <c r="O57" s="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46"/>
      <c r="C58" s="130" t="s">
        <v>79</v>
      </c>
      <c r="D58" s="131"/>
      <c r="E58" s="84"/>
      <c r="F58" s="132"/>
      <c r="G58" s="14"/>
      <c r="H58" s="14"/>
      <c r="I58" s="6"/>
      <c r="J58" s="6"/>
      <c r="K58" s="6"/>
      <c r="L58" s="6"/>
      <c r="M58" s="6"/>
      <c r="N58" s="6"/>
      <c r="O58" s="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46"/>
      <c r="C59" s="133">
        <v>0.0</v>
      </c>
      <c r="D59" s="134">
        <v>1.0</v>
      </c>
      <c r="E59" s="134">
        <f t="shared" ref="E59:H59" si="21">D59+1</f>
        <v>2</v>
      </c>
      <c r="F59" s="134">
        <f t="shared" si="21"/>
        <v>3</v>
      </c>
      <c r="G59" s="134">
        <f t="shared" si="21"/>
        <v>4</v>
      </c>
      <c r="H59" s="135">
        <f t="shared" si="21"/>
        <v>5</v>
      </c>
      <c r="I59" s="22"/>
      <c r="J59" s="6"/>
      <c r="K59" s="6"/>
      <c r="L59" s="6"/>
      <c r="M59" s="6"/>
      <c r="N59" s="6"/>
      <c r="O59" s="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6"/>
      <c r="B60" s="137"/>
      <c r="C60" s="138">
        <f>-G6</f>
        <v>-110001</v>
      </c>
      <c r="D60" s="45">
        <f t="shared" ref="D60:H60" si="22">$O$55*(1-$C$9)</f>
        <v>-60906.78</v>
      </c>
      <c r="E60" s="45">
        <f t="shared" si="22"/>
        <v>-60906.78</v>
      </c>
      <c r="F60" s="45">
        <f t="shared" si="22"/>
        <v>-60906.78</v>
      </c>
      <c r="G60" s="45">
        <f t="shared" si="22"/>
        <v>-60906.78</v>
      </c>
      <c r="H60" s="139">
        <f t="shared" si="22"/>
        <v>-60906.78</v>
      </c>
      <c r="I60" s="140"/>
      <c r="J60" s="141"/>
      <c r="K60" s="141"/>
      <c r="L60" s="141"/>
      <c r="M60" s="141"/>
      <c r="N60" s="141"/>
      <c r="O60" s="14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C3:N3"/>
  </mergeCells>
  <conditionalFormatting sqref="C10 C28 C40:O40 C44:N44">
    <cfRule type="cellIs" dxfId="0" priority="1" stopIfTrue="1" operator="lessThan">
      <formula>0</formula>
    </cfRule>
  </conditionalFormatting>
  <printOptions/>
  <pageMargins bottom="0.75" footer="0.0" header="0.0" left="0.7" right="0.7" top="0.75"/>
  <pageSetup orientation="portrait"/>
  <headerFooter>
    <oddFooter>&amp;C000000&amp;P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88"/>
    <col customWidth="1" min="3" max="3" width="32.38"/>
    <col customWidth="1" min="4" max="4" width="26.13"/>
  </cols>
  <sheetData>
    <row r="1">
      <c r="A1" s="143" t="s">
        <v>84</v>
      </c>
      <c r="B1" s="143" t="s">
        <v>85</v>
      </c>
      <c r="C1" s="143" t="s">
        <v>86</v>
      </c>
      <c r="D1" s="143" t="s">
        <v>87</v>
      </c>
      <c r="E1" s="143" t="s">
        <v>88</v>
      </c>
      <c r="F1" s="143" t="s">
        <v>89</v>
      </c>
    </row>
    <row r="2">
      <c r="A2" s="143" t="s">
        <v>90</v>
      </c>
      <c r="C2" s="144" t="s">
        <v>91</v>
      </c>
      <c r="D2" s="143" t="s">
        <v>92</v>
      </c>
      <c r="E2" s="143" t="s">
        <v>93</v>
      </c>
      <c r="F2" s="143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35.88"/>
    <col customWidth="1" min="3" max="3" width="17.38"/>
    <col customWidth="1" min="4" max="4" width="14.63"/>
    <col customWidth="1" min="5" max="5" width="15.38"/>
    <col customWidth="1" min="6" max="6" width="14.63"/>
    <col customWidth="1" min="7" max="7" width="14.25"/>
    <col customWidth="1" min="8" max="8" width="15.38"/>
    <col customWidth="1" min="9" max="10" width="15.75"/>
    <col customWidth="1" min="11" max="11" width="15.0"/>
    <col customWidth="1" min="12" max="12" width="14.25"/>
    <col customWidth="1" min="13" max="13" width="14.63"/>
    <col customWidth="1" min="14" max="14" width="13.88"/>
    <col customWidth="1" min="15" max="15" width="17.88"/>
    <col customWidth="1" min="16" max="26" width="12.13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/>
      <c r="B3" s="6"/>
      <c r="C3" s="145" t="s">
        <v>95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/>
      <c r="B5" s="13" t="s">
        <v>2</v>
      </c>
      <c r="C5" s="14"/>
      <c r="D5" s="6"/>
      <c r="E5" s="13" t="s">
        <v>3</v>
      </c>
      <c r="F5" s="14"/>
      <c r="G5" s="14"/>
      <c r="H5" s="6"/>
      <c r="I5" s="6"/>
      <c r="J5" s="6"/>
      <c r="K5" s="6"/>
      <c r="L5" s="6"/>
      <c r="M5" s="6"/>
      <c r="N5" s="6"/>
      <c r="O5" s="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/>
      <c r="B6" s="16" t="s">
        <v>4</v>
      </c>
      <c r="C6" s="50">
        <v>400000.0</v>
      </c>
      <c r="D6" s="18"/>
      <c r="E6" s="19" t="s">
        <v>5</v>
      </c>
      <c r="F6" s="20"/>
      <c r="G6" s="21">
        <f>SUM(C7:C8)</f>
        <v>210000</v>
      </c>
      <c r="H6" s="22"/>
      <c r="I6" s="6"/>
      <c r="J6" s="6"/>
      <c r="K6" s="6"/>
      <c r="L6" s="6"/>
      <c r="M6" s="6"/>
      <c r="N6" s="6"/>
      <c r="O6" s="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5"/>
      <c r="B7" s="25" t="s">
        <v>9</v>
      </c>
      <c r="C7" s="48">
        <v>200000.0</v>
      </c>
      <c r="D7" s="18"/>
      <c r="E7" s="27" t="s">
        <v>10</v>
      </c>
      <c r="F7" s="28"/>
      <c r="G7" s="29">
        <f>SUM(C55:N55)</f>
        <v>84732.75</v>
      </c>
      <c r="H7" s="22"/>
      <c r="I7" s="6"/>
      <c r="J7" s="6"/>
      <c r="K7" s="6"/>
      <c r="L7" s="6"/>
      <c r="M7" s="6"/>
      <c r="N7" s="6"/>
      <c r="O7" s="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5"/>
      <c r="B8" s="25" t="s">
        <v>12</v>
      </c>
      <c r="C8" s="48">
        <v>10000.0</v>
      </c>
      <c r="D8" s="18"/>
      <c r="E8" s="27" t="s">
        <v>13</v>
      </c>
      <c r="F8" s="28"/>
      <c r="G8" s="29">
        <f>G7*(1-C9)-F23</f>
        <v>44262.925</v>
      </c>
      <c r="H8" s="22"/>
      <c r="I8" s="6"/>
      <c r="J8" s="6"/>
      <c r="K8" s="6"/>
      <c r="L8" s="6"/>
      <c r="M8" s="6"/>
      <c r="N8" s="6"/>
      <c r="O8" s="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/>
      <c r="B9" s="25" t="s">
        <v>15</v>
      </c>
      <c r="C9" s="146">
        <v>0.3</v>
      </c>
      <c r="D9" s="18"/>
      <c r="E9" s="33" t="s">
        <v>16</v>
      </c>
      <c r="F9" s="34"/>
      <c r="G9" s="35">
        <f>G6/G7</f>
        <v>2.478380555</v>
      </c>
      <c r="H9" s="22"/>
      <c r="I9" s="6"/>
      <c r="J9" s="6"/>
      <c r="K9" s="6"/>
      <c r="L9" s="6"/>
      <c r="M9" s="6"/>
      <c r="N9" s="6"/>
      <c r="O9" s="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5"/>
      <c r="B10" s="37" t="s">
        <v>18</v>
      </c>
      <c r="C10" s="147">
        <v>1000.0</v>
      </c>
      <c r="D10" s="18"/>
      <c r="E10" s="19" t="s">
        <v>19</v>
      </c>
      <c r="F10" s="20"/>
      <c r="G10" s="39">
        <f>G7/G6</f>
        <v>0.4034892857</v>
      </c>
      <c r="H10" s="22"/>
      <c r="I10" s="6"/>
      <c r="J10" s="6"/>
      <c r="K10" s="6"/>
      <c r="L10" s="6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/>
      <c r="B11" s="41"/>
      <c r="C11" s="42"/>
      <c r="D11" s="43"/>
      <c r="E11" s="27" t="s">
        <v>21</v>
      </c>
      <c r="F11" s="28"/>
      <c r="G11" s="44">
        <f>IRR(C60:H60)</f>
        <v>0.1272980225</v>
      </c>
      <c r="H11" s="22"/>
      <c r="I11" s="6"/>
      <c r="J11" s="6"/>
      <c r="K11" s="6"/>
      <c r="L11" s="6"/>
      <c r="M11" s="6"/>
      <c r="N11" s="6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/>
      <c r="B12" s="13" t="s">
        <v>22</v>
      </c>
      <c r="C12" s="45"/>
      <c r="D12" s="46"/>
      <c r="E12" s="33" t="s">
        <v>23</v>
      </c>
      <c r="F12" s="34"/>
      <c r="G12" s="47">
        <f>SUM(C10,D60:H60)/G6</f>
        <v>1.416974405</v>
      </c>
      <c r="H12" s="22"/>
      <c r="I12" s="6"/>
      <c r="J12" s="6"/>
      <c r="K12" s="6"/>
      <c r="L12" s="6"/>
      <c r="M12" s="6"/>
      <c r="N12" s="6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5"/>
      <c r="B13" s="16" t="s">
        <v>24</v>
      </c>
      <c r="C13" s="50">
        <v>1265.0</v>
      </c>
      <c r="D13" s="22"/>
      <c r="E13" s="41"/>
      <c r="F13" s="41"/>
      <c r="G13" s="41"/>
      <c r="H13" s="6"/>
      <c r="I13" s="6"/>
      <c r="J13" s="6"/>
      <c r="K13" s="6"/>
      <c r="L13" s="6"/>
      <c r="M13" s="6"/>
      <c r="N13" s="6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5"/>
      <c r="B14" s="25" t="s">
        <v>25</v>
      </c>
      <c r="C14" s="48">
        <f>(C6*0.011)/12</f>
        <v>366.6666667</v>
      </c>
      <c r="D14" s="22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5"/>
      <c r="B15" s="25" t="s">
        <v>26</v>
      </c>
      <c r="C15" s="48">
        <f>((C6-C7)*0.01)/12</f>
        <v>166.6666667</v>
      </c>
      <c r="D15" s="22"/>
      <c r="E15" s="13" t="s">
        <v>27</v>
      </c>
      <c r="F15" s="45"/>
      <c r="G15" s="6"/>
      <c r="H15" s="6"/>
      <c r="I15" s="6"/>
      <c r="J15" s="6"/>
      <c r="K15" s="6"/>
      <c r="L15" s="6"/>
      <c r="M15" s="6"/>
      <c r="N15" s="6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5"/>
      <c r="B16" s="25" t="s">
        <v>28</v>
      </c>
      <c r="C16" s="48">
        <v>400.0</v>
      </c>
      <c r="D16" s="49"/>
      <c r="E16" s="16" t="s">
        <v>29</v>
      </c>
      <c r="F16" s="50">
        <v>12000.0</v>
      </c>
      <c r="G16" s="22"/>
      <c r="H16" s="6"/>
      <c r="I16" s="6"/>
      <c r="J16" s="6"/>
      <c r="K16" s="6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5"/>
      <c r="B17" s="25" t="s">
        <v>30</v>
      </c>
      <c r="C17" s="48">
        <v>100.0</v>
      </c>
      <c r="D17" s="49"/>
      <c r="E17" s="25" t="s">
        <v>31</v>
      </c>
      <c r="F17" s="48">
        <f>1000</f>
        <v>1000</v>
      </c>
      <c r="G17" s="22"/>
      <c r="H17" s="6"/>
      <c r="I17" s="6"/>
      <c r="J17" s="6"/>
      <c r="K17" s="6"/>
      <c r="L17" s="6"/>
      <c r="M17" s="6"/>
      <c r="N17" s="6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5"/>
      <c r="B18" s="25" t="s">
        <v>32</v>
      </c>
      <c r="C18" s="48">
        <v>100.0</v>
      </c>
      <c r="D18" s="49"/>
      <c r="E18" s="25" t="s">
        <v>33</v>
      </c>
      <c r="F18" s="48">
        <v>2000.0</v>
      </c>
      <c r="G18" s="51" t="s">
        <v>34</v>
      </c>
      <c r="H18" s="6"/>
      <c r="I18" s="6"/>
      <c r="J18" s="6"/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5"/>
      <c r="B19" s="52" t="s">
        <v>35</v>
      </c>
      <c r="C19" s="59">
        <v>100.0</v>
      </c>
      <c r="D19" s="49"/>
      <c r="E19" s="25" t="s">
        <v>36</v>
      </c>
      <c r="F19" s="48">
        <v>50.0</v>
      </c>
      <c r="G19" s="22"/>
      <c r="H19" s="6"/>
      <c r="I19" s="6"/>
      <c r="J19" s="6"/>
      <c r="K19" s="6"/>
      <c r="L19" s="6"/>
      <c r="M19" s="6"/>
      <c r="N19" s="6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5"/>
      <c r="B20" s="54" t="s">
        <v>37</v>
      </c>
      <c r="C20" s="55">
        <f>SUM(C13:C15)</f>
        <v>1798.333333</v>
      </c>
      <c r="D20" s="49"/>
      <c r="E20" s="56"/>
      <c r="F20" s="48"/>
      <c r="G20" s="22"/>
      <c r="H20" s="6"/>
      <c r="I20" s="6"/>
      <c r="J20" s="6"/>
      <c r="K20" s="6"/>
      <c r="L20" s="6"/>
      <c r="M20" s="6"/>
      <c r="N20" s="6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"/>
      <c r="B21" s="42"/>
      <c r="C21" s="57"/>
      <c r="D21" s="46"/>
      <c r="E21" s="56"/>
      <c r="F21" s="48"/>
      <c r="G21" s="22"/>
      <c r="H21" s="6"/>
      <c r="I21" s="6"/>
      <c r="J21" s="6"/>
      <c r="K21" s="6"/>
      <c r="L21" s="6"/>
      <c r="M21" s="6"/>
      <c r="N21" s="6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"/>
      <c r="B22" s="13" t="s">
        <v>38</v>
      </c>
      <c r="C22" s="45"/>
      <c r="D22" s="46"/>
      <c r="E22" s="58"/>
      <c r="F22" s="59"/>
      <c r="G22" s="22"/>
      <c r="H22" s="6"/>
      <c r="I22" s="6"/>
      <c r="J22" s="6"/>
      <c r="K22" s="6"/>
      <c r="L22" s="6"/>
      <c r="M22" s="6"/>
      <c r="N22" s="6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5"/>
      <c r="B23" s="16" t="s">
        <v>39</v>
      </c>
      <c r="C23" s="148">
        <v>0.0</v>
      </c>
      <c r="D23" s="49"/>
      <c r="E23" s="54" t="s">
        <v>40</v>
      </c>
      <c r="F23" s="55">
        <f>SUM(F16:F22)</f>
        <v>15050</v>
      </c>
      <c r="G23" s="22"/>
      <c r="H23" s="6"/>
      <c r="I23" s="6"/>
      <c r="J23" s="6"/>
      <c r="K23" s="6"/>
      <c r="L23" s="6"/>
      <c r="M23" s="6"/>
      <c r="N23" s="6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5"/>
      <c r="B24" s="25" t="s">
        <v>41</v>
      </c>
      <c r="C24" s="48">
        <v>75.0</v>
      </c>
      <c r="D24" s="22"/>
      <c r="E24" s="41"/>
      <c r="F24" s="41"/>
      <c r="G24" s="6"/>
      <c r="H24" s="6"/>
      <c r="I24" s="6"/>
      <c r="J24" s="6"/>
      <c r="K24" s="6"/>
      <c r="L24" s="6"/>
      <c r="M24" s="6"/>
      <c r="N24" s="6"/>
      <c r="O24" s="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/>
      <c r="B25" s="25" t="s">
        <v>42</v>
      </c>
      <c r="C25" s="146">
        <v>0.03</v>
      </c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5"/>
      <c r="B26" s="25" t="s">
        <v>43</v>
      </c>
      <c r="C26" s="48">
        <v>7.0</v>
      </c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5"/>
      <c r="B27" s="37" t="s">
        <v>44</v>
      </c>
      <c r="C27" s="149">
        <v>100.0</v>
      </c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/>
      <c r="B28" s="42"/>
      <c r="C28" s="6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/>
      <c r="B29" s="63"/>
      <c r="C29" s="4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5"/>
      <c r="B30" s="64" t="s">
        <v>45</v>
      </c>
      <c r="C30" s="65" t="s">
        <v>46</v>
      </c>
      <c r="D30" s="66" t="s">
        <v>47</v>
      </c>
      <c r="E30" s="66" t="s">
        <v>48</v>
      </c>
      <c r="F30" s="66" t="s">
        <v>49</v>
      </c>
      <c r="G30" s="66" t="s">
        <v>50</v>
      </c>
      <c r="H30" s="66" t="s">
        <v>51</v>
      </c>
      <c r="I30" s="66" t="s">
        <v>52</v>
      </c>
      <c r="J30" s="66" t="s">
        <v>53</v>
      </c>
      <c r="K30" s="66" t="s">
        <v>54</v>
      </c>
      <c r="L30" s="66" t="s">
        <v>55</v>
      </c>
      <c r="M30" s="66" t="s">
        <v>56</v>
      </c>
      <c r="N30" s="67" t="s">
        <v>57</v>
      </c>
      <c r="O30" s="6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5"/>
      <c r="B31" s="69" t="s">
        <v>58</v>
      </c>
      <c r="C31" s="150">
        <v>31.0</v>
      </c>
      <c r="D31" s="72">
        <v>28.0</v>
      </c>
      <c r="E31" s="72">
        <v>31.0</v>
      </c>
      <c r="F31" s="72">
        <v>30.0</v>
      </c>
      <c r="G31" s="72">
        <v>31.0</v>
      </c>
      <c r="H31" s="72">
        <v>30.0</v>
      </c>
      <c r="I31" s="72">
        <v>31.0</v>
      </c>
      <c r="J31" s="72">
        <v>31.0</v>
      </c>
      <c r="K31" s="72">
        <v>30.0</v>
      </c>
      <c r="L31" s="72">
        <v>31.0</v>
      </c>
      <c r="M31" s="72">
        <v>30.0</v>
      </c>
      <c r="N31" s="151">
        <v>31.0</v>
      </c>
      <c r="O31" s="7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/>
      <c r="B32" s="75" t="s">
        <v>59</v>
      </c>
      <c r="C32" s="152">
        <v>300.0</v>
      </c>
      <c r="D32" s="153">
        <v>350.0</v>
      </c>
      <c r="E32" s="153">
        <v>350.0</v>
      </c>
      <c r="F32" s="153">
        <v>375.0</v>
      </c>
      <c r="G32" s="153">
        <v>400.0</v>
      </c>
      <c r="H32" s="153">
        <v>400.0</v>
      </c>
      <c r="I32" s="153">
        <v>450.0</v>
      </c>
      <c r="J32" s="153">
        <v>450.0</v>
      </c>
      <c r="K32" s="153">
        <v>400.0</v>
      </c>
      <c r="L32" s="153">
        <v>350.0</v>
      </c>
      <c r="M32" s="153">
        <v>300.0</v>
      </c>
      <c r="N32" s="154">
        <v>300.0</v>
      </c>
      <c r="O32" s="7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5"/>
      <c r="B33" s="75" t="s">
        <v>60</v>
      </c>
      <c r="C33" s="155">
        <v>0.5</v>
      </c>
      <c r="D33" s="156">
        <v>0.8</v>
      </c>
      <c r="E33" s="156">
        <v>0.85</v>
      </c>
      <c r="F33" s="156">
        <v>0.85</v>
      </c>
      <c r="G33" s="156">
        <v>0.9</v>
      </c>
      <c r="H33" s="156">
        <v>1.0</v>
      </c>
      <c r="I33" s="156">
        <v>1.0</v>
      </c>
      <c r="J33" s="156">
        <v>1.0</v>
      </c>
      <c r="K33" s="156">
        <v>1.0</v>
      </c>
      <c r="L33" s="156">
        <v>0.8</v>
      </c>
      <c r="M33" s="156">
        <v>0.75</v>
      </c>
      <c r="N33" s="157">
        <v>0.7</v>
      </c>
      <c r="O33" s="7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/>
      <c r="B34" s="79" t="s">
        <v>61</v>
      </c>
      <c r="C34" s="158">
        <v>8.0</v>
      </c>
      <c r="D34" s="159">
        <v>8.0</v>
      </c>
      <c r="E34" s="159">
        <v>8.0</v>
      </c>
      <c r="F34" s="159">
        <v>8.0</v>
      </c>
      <c r="G34" s="159">
        <v>8.0</v>
      </c>
      <c r="H34" s="159">
        <v>11.0</v>
      </c>
      <c r="I34" s="159">
        <v>11.0</v>
      </c>
      <c r="J34" s="159">
        <v>11.0</v>
      </c>
      <c r="K34" s="159">
        <v>10.0</v>
      </c>
      <c r="L34" s="159">
        <v>8.0</v>
      </c>
      <c r="M34" s="159">
        <v>8.0</v>
      </c>
      <c r="N34" s="160">
        <v>8.0</v>
      </c>
      <c r="O34" s="8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84"/>
      <c r="C35" s="65" t="s">
        <v>46</v>
      </c>
      <c r="D35" s="66" t="s">
        <v>47</v>
      </c>
      <c r="E35" s="66" t="s">
        <v>48</v>
      </c>
      <c r="F35" s="66" t="s">
        <v>49</v>
      </c>
      <c r="G35" s="66" t="s">
        <v>50</v>
      </c>
      <c r="H35" s="66" t="s">
        <v>51</v>
      </c>
      <c r="I35" s="66" t="s">
        <v>52</v>
      </c>
      <c r="J35" s="66" t="s">
        <v>53</v>
      </c>
      <c r="K35" s="66" t="s">
        <v>54</v>
      </c>
      <c r="L35" s="66" t="s">
        <v>55</v>
      </c>
      <c r="M35" s="66" t="s">
        <v>56</v>
      </c>
      <c r="N35" s="67" t="s">
        <v>57</v>
      </c>
      <c r="O35" s="85" t="s">
        <v>62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69" t="s">
        <v>63</v>
      </c>
      <c r="C36" s="86">
        <f t="shared" ref="C36:N36" si="1">C32*C33*C31</f>
        <v>4650</v>
      </c>
      <c r="D36" s="87">
        <f t="shared" si="1"/>
        <v>7840</v>
      </c>
      <c r="E36" s="87">
        <f t="shared" si="1"/>
        <v>9222.5</v>
      </c>
      <c r="F36" s="87">
        <f t="shared" si="1"/>
        <v>9562.5</v>
      </c>
      <c r="G36" s="87">
        <f t="shared" si="1"/>
        <v>11160</v>
      </c>
      <c r="H36" s="87">
        <f t="shared" si="1"/>
        <v>12000</v>
      </c>
      <c r="I36" s="87">
        <f t="shared" si="1"/>
        <v>13950</v>
      </c>
      <c r="J36" s="87">
        <f t="shared" si="1"/>
        <v>13950</v>
      </c>
      <c r="K36" s="87">
        <f t="shared" si="1"/>
        <v>12000</v>
      </c>
      <c r="L36" s="87">
        <f t="shared" si="1"/>
        <v>8680</v>
      </c>
      <c r="M36" s="87">
        <f t="shared" si="1"/>
        <v>6750</v>
      </c>
      <c r="N36" s="88">
        <f t="shared" si="1"/>
        <v>6510</v>
      </c>
      <c r="O36" s="89">
        <f t="shared" ref="O36:O38" si="3">SUM(C36:N36)</f>
        <v>116275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5"/>
      <c r="B37" s="90" t="s">
        <v>64</v>
      </c>
      <c r="C37" s="91">
        <f t="shared" ref="C37:N37" si="2">$C$27*C34</f>
        <v>800</v>
      </c>
      <c r="D37" s="92">
        <f t="shared" si="2"/>
        <v>800</v>
      </c>
      <c r="E37" s="92">
        <f t="shared" si="2"/>
        <v>800</v>
      </c>
      <c r="F37" s="92">
        <f t="shared" si="2"/>
        <v>800</v>
      </c>
      <c r="G37" s="92">
        <f t="shared" si="2"/>
        <v>800</v>
      </c>
      <c r="H37" s="92">
        <f t="shared" si="2"/>
        <v>1100</v>
      </c>
      <c r="I37" s="92">
        <f t="shared" si="2"/>
        <v>1100</v>
      </c>
      <c r="J37" s="92">
        <f t="shared" si="2"/>
        <v>1100</v>
      </c>
      <c r="K37" s="92">
        <f t="shared" si="2"/>
        <v>1000</v>
      </c>
      <c r="L37" s="92">
        <f t="shared" si="2"/>
        <v>800</v>
      </c>
      <c r="M37" s="92">
        <f t="shared" si="2"/>
        <v>800</v>
      </c>
      <c r="N37" s="93">
        <f t="shared" si="2"/>
        <v>800</v>
      </c>
      <c r="O37" s="94">
        <f t="shared" si="3"/>
        <v>10700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5"/>
      <c r="B38" s="95" t="s">
        <v>65</v>
      </c>
      <c r="C38" s="96">
        <f t="shared" ref="C38:N38" si="4">C31*C32*C33+C37</f>
        <v>5450</v>
      </c>
      <c r="D38" s="97">
        <f t="shared" si="4"/>
        <v>8640</v>
      </c>
      <c r="E38" s="97">
        <f t="shared" si="4"/>
        <v>10022.5</v>
      </c>
      <c r="F38" s="97">
        <f t="shared" si="4"/>
        <v>10362.5</v>
      </c>
      <c r="G38" s="97">
        <f t="shared" si="4"/>
        <v>11960</v>
      </c>
      <c r="H38" s="97">
        <f t="shared" si="4"/>
        <v>13100</v>
      </c>
      <c r="I38" s="97">
        <f t="shared" si="4"/>
        <v>15050</v>
      </c>
      <c r="J38" s="97">
        <f t="shared" si="4"/>
        <v>15050</v>
      </c>
      <c r="K38" s="97">
        <f t="shared" si="4"/>
        <v>13000</v>
      </c>
      <c r="L38" s="97">
        <f t="shared" si="4"/>
        <v>9480</v>
      </c>
      <c r="M38" s="97">
        <f t="shared" si="4"/>
        <v>7550</v>
      </c>
      <c r="N38" s="98">
        <f t="shared" si="4"/>
        <v>7310</v>
      </c>
      <c r="O38" s="99">
        <f t="shared" si="3"/>
        <v>126975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5"/>
      <c r="B39" s="18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2"/>
      <c r="O39" s="10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5"/>
      <c r="B40" s="104" t="s">
        <v>66</v>
      </c>
      <c r="C40" s="105">
        <f t="shared" ref="C40:N40" si="5">$C$23*C36</f>
        <v>0</v>
      </c>
      <c r="D40" s="106">
        <f t="shared" si="5"/>
        <v>0</v>
      </c>
      <c r="E40" s="106">
        <f t="shared" si="5"/>
        <v>0</v>
      </c>
      <c r="F40" s="106">
        <f t="shared" si="5"/>
        <v>0</v>
      </c>
      <c r="G40" s="106">
        <f t="shared" si="5"/>
        <v>0</v>
      </c>
      <c r="H40" s="106">
        <f t="shared" si="5"/>
        <v>0</v>
      </c>
      <c r="I40" s="106">
        <f t="shared" si="5"/>
        <v>0</v>
      </c>
      <c r="J40" s="106">
        <f t="shared" si="5"/>
        <v>0</v>
      </c>
      <c r="K40" s="106">
        <f t="shared" si="5"/>
        <v>0</v>
      </c>
      <c r="L40" s="106">
        <f t="shared" si="5"/>
        <v>0</v>
      </c>
      <c r="M40" s="106">
        <f t="shared" si="5"/>
        <v>0</v>
      </c>
      <c r="N40" s="107">
        <f t="shared" si="5"/>
        <v>0</v>
      </c>
      <c r="O40" s="108">
        <f>SUM(N40)</f>
        <v>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5"/>
      <c r="B41" s="104" t="s">
        <v>67</v>
      </c>
      <c r="C41" s="100">
        <f t="shared" ref="C41:N41" si="6">$C$24*C34</f>
        <v>600</v>
      </c>
      <c r="D41" s="101">
        <f t="shared" si="6"/>
        <v>600</v>
      </c>
      <c r="E41" s="101">
        <f t="shared" si="6"/>
        <v>600</v>
      </c>
      <c r="F41" s="101">
        <f t="shared" si="6"/>
        <v>600</v>
      </c>
      <c r="G41" s="101">
        <f t="shared" si="6"/>
        <v>600</v>
      </c>
      <c r="H41" s="101">
        <f t="shared" si="6"/>
        <v>825</v>
      </c>
      <c r="I41" s="101">
        <f t="shared" si="6"/>
        <v>825</v>
      </c>
      <c r="J41" s="101">
        <f t="shared" si="6"/>
        <v>825</v>
      </c>
      <c r="K41" s="101">
        <f t="shared" si="6"/>
        <v>750</v>
      </c>
      <c r="L41" s="101">
        <f t="shared" si="6"/>
        <v>600</v>
      </c>
      <c r="M41" s="101">
        <f t="shared" si="6"/>
        <v>600</v>
      </c>
      <c r="N41" s="102">
        <f t="shared" si="6"/>
        <v>600</v>
      </c>
      <c r="O41" s="109">
        <f t="shared" ref="O41:O44" si="8">SUM(C41:N41)</f>
        <v>8025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5"/>
      <c r="B42" s="104" t="s">
        <v>68</v>
      </c>
      <c r="C42" s="100">
        <f t="shared" ref="C42:N42" si="7">$C$25*C32*C33*C31</f>
        <v>139.5</v>
      </c>
      <c r="D42" s="101">
        <f t="shared" si="7"/>
        <v>235.2</v>
      </c>
      <c r="E42" s="101">
        <f t="shared" si="7"/>
        <v>276.675</v>
      </c>
      <c r="F42" s="101">
        <f t="shared" si="7"/>
        <v>286.875</v>
      </c>
      <c r="G42" s="101">
        <f t="shared" si="7"/>
        <v>334.8</v>
      </c>
      <c r="H42" s="101">
        <f t="shared" si="7"/>
        <v>360</v>
      </c>
      <c r="I42" s="101">
        <f t="shared" si="7"/>
        <v>418.5</v>
      </c>
      <c r="J42" s="101">
        <f t="shared" si="7"/>
        <v>418.5</v>
      </c>
      <c r="K42" s="101">
        <f t="shared" si="7"/>
        <v>360</v>
      </c>
      <c r="L42" s="101">
        <f t="shared" si="7"/>
        <v>260.4</v>
      </c>
      <c r="M42" s="101">
        <f t="shared" si="7"/>
        <v>202.5</v>
      </c>
      <c r="N42" s="102">
        <f t="shared" si="7"/>
        <v>195.3</v>
      </c>
      <c r="O42" s="109">
        <f t="shared" si="8"/>
        <v>3488.25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5"/>
      <c r="B43" s="90" t="s">
        <v>69</v>
      </c>
      <c r="C43" s="91">
        <f t="shared" ref="C43:N43" si="9">$C$26*C34</f>
        <v>56</v>
      </c>
      <c r="D43" s="92">
        <f t="shared" si="9"/>
        <v>56</v>
      </c>
      <c r="E43" s="92">
        <f t="shared" si="9"/>
        <v>56</v>
      </c>
      <c r="F43" s="92">
        <f t="shared" si="9"/>
        <v>56</v>
      </c>
      <c r="G43" s="92">
        <f t="shared" si="9"/>
        <v>56</v>
      </c>
      <c r="H43" s="92">
        <f t="shared" si="9"/>
        <v>77</v>
      </c>
      <c r="I43" s="92">
        <f t="shared" si="9"/>
        <v>77</v>
      </c>
      <c r="J43" s="92">
        <f t="shared" si="9"/>
        <v>77</v>
      </c>
      <c r="K43" s="92">
        <f t="shared" si="9"/>
        <v>70</v>
      </c>
      <c r="L43" s="92">
        <f t="shared" si="9"/>
        <v>56</v>
      </c>
      <c r="M43" s="92">
        <f t="shared" si="9"/>
        <v>56</v>
      </c>
      <c r="N43" s="93">
        <f t="shared" si="9"/>
        <v>56</v>
      </c>
      <c r="O43" s="94">
        <f t="shared" si="8"/>
        <v>749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5"/>
      <c r="B44" s="95" t="s">
        <v>70</v>
      </c>
      <c r="C44" s="110">
        <f t="shared" ref="C44:N44" si="10">SUM(C40:C43)</f>
        <v>795.5</v>
      </c>
      <c r="D44" s="111">
        <f t="shared" si="10"/>
        <v>891.2</v>
      </c>
      <c r="E44" s="111">
        <f t="shared" si="10"/>
        <v>932.675</v>
      </c>
      <c r="F44" s="111">
        <f t="shared" si="10"/>
        <v>942.875</v>
      </c>
      <c r="G44" s="111">
        <f t="shared" si="10"/>
        <v>990.8</v>
      </c>
      <c r="H44" s="111">
        <f t="shared" si="10"/>
        <v>1262</v>
      </c>
      <c r="I44" s="111">
        <f t="shared" si="10"/>
        <v>1320.5</v>
      </c>
      <c r="J44" s="111">
        <f t="shared" si="10"/>
        <v>1320.5</v>
      </c>
      <c r="K44" s="111">
        <f t="shared" si="10"/>
        <v>1180</v>
      </c>
      <c r="L44" s="111">
        <f t="shared" si="10"/>
        <v>916.4</v>
      </c>
      <c r="M44" s="111">
        <f t="shared" si="10"/>
        <v>858.5</v>
      </c>
      <c r="N44" s="112">
        <f t="shared" si="10"/>
        <v>851.3</v>
      </c>
      <c r="O44" s="99">
        <f t="shared" si="8"/>
        <v>12262.25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15"/>
      <c r="B45" s="18"/>
      <c r="C45" s="113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5"/>
      <c r="O45" s="10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15"/>
      <c r="B46" s="104" t="s">
        <v>71</v>
      </c>
      <c r="C46" s="100">
        <f t="shared" ref="C46:N46" si="11">C38-C44</f>
        <v>4654.5</v>
      </c>
      <c r="D46" s="101">
        <f t="shared" si="11"/>
        <v>7748.8</v>
      </c>
      <c r="E46" s="101">
        <f t="shared" si="11"/>
        <v>9089.825</v>
      </c>
      <c r="F46" s="101">
        <f t="shared" si="11"/>
        <v>9419.625</v>
      </c>
      <c r="G46" s="101">
        <f t="shared" si="11"/>
        <v>10969.2</v>
      </c>
      <c r="H46" s="101">
        <f t="shared" si="11"/>
        <v>11838</v>
      </c>
      <c r="I46" s="101">
        <f t="shared" si="11"/>
        <v>13729.5</v>
      </c>
      <c r="J46" s="101">
        <f t="shared" si="11"/>
        <v>13729.5</v>
      </c>
      <c r="K46" s="101">
        <f t="shared" si="11"/>
        <v>11820</v>
      </c>
      <c r="L46" s="101">
        <f t="shared" si="11"/>
        <v>8563.6</v>
      </c>
      <c r="M46" s="101">
        <f t="shared" si="11"/>
        <v>6691.5</v>
      </c>
      <c r="N46" s="102">
        <f t="shared" si="11"/>
        <v>6458.7</v>
      </c>
      <c r="O46" s="109">
        <f>SUM(C46:N46)</f>
        <v>114712.75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15"/>
      <c r="B47" s="18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5"/>
      <c r="O47" s="10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15"/>
      <c r="B48" s="104" t="s">
        <v>72</v>
      </c>
      <c r="C48" s="100">
        <f t="shared" ref="C48:N48" si="12">$C$20</f>
        <v>1798.333333</v>
      </c>
      <c r="D48" s="101">
        <f t="shared" si="12"/>
        <v>1798.333333</v>
      </c>
      <c r="E48" s="101">
        <f t="shared" si="12"/>
        <v>1798.333333</v>
      </c>
      <c r="F48" s="101">
        <f t="shared" si="12"/>
        <v>1798.333333</v>
      </c>
      <c r="G48" s="101">
        <f t="shared" si="12"/>
        <v>1798.333333</v>
      </c>
      <c r="H48" s="101">
        <f t="shared" si="12"/>
        <v>1798.333333</v>
      </c>
      <c r="I48" s="101">
        <f t="shared" si="12"/>
        <v>1798.333333</v>
      </c>
      <c r="J48" s="101">
        <f t="shared" si="12"/>
        <v>1798.333333</v>
      </c>
      <c r="K48" s="101">
        <f t="shared" si="12"/>
        <v>1798.333333</v>
      </c>
      <c r="L48" s="101">
        <f t="shared" si="12"/>
        <v>1798.333333</v>
      </c>
      <c r="M48" s="101">
        <f t="shared" si="12"/>
        <v>1798.333333</v>
      </c>
      <c r="N48" s="102">
        <f t="shared" si="12"/>
        <v>1798.333333</v>
      </c>
      <c r="O48" s="109">
        <f t="shared" ref="O48:O53" si="14">SUM(C48:N48)</f>
        <v>21580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15"/>
      <c r="B49" s="104" t="s">
        <v>73</v>
      </c>
      <c r="C49" s="100">
        <f t="shared" ref="C49:N49" si="13">$C$16</f>
        <v>400</v>
      </c>
      <c r="D49" s="101">
        <f t="shared" si="13"/>
        <v>400</v>
      </c>
      <c r="E49" s="101">
        <f t="shared" si="13"/>
        <v>400</v>
      </c>
      <c r="F49" s="101">
        <f t="shared" si="13"/>
        <v>400</v>
      </c>
      <c r="G49" s="101">
        <f t="shared" si="13"/>
        <v>400</v>
      </c>
      <c r="H49" s="101">
        <f t="shared" si="13"/>
        <v>400</v>
      </c>
      <c r="I49" s="101">
        <f t="shared" si="13"/>
        <v>400</v>
      </c>
      <c r="J49" s="101">
        <f t="shared" si="13"/>
        <v>400</v>
      </c>
      <c r="K49" s="101">
        <f t="shared" si="13"/>
        <v>400</v>
      </c>
      <c r="L49" s="101">
        <f t="shared" si="13"/>
        <v>400</v>
      </c>
      <c r="M49" s="101">
        <f t="shared" si="13"/>
        <v>400</v>
      </c>
      <c r="N49" s="102">
        <f t="shared" si="13"/>
        <v>400</v>
      </c>
      <c r="O49" s="109">
        <f t="shared" si="14"/>
        <v>4800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5"/>
      <c r="B50" s="104" t="s">
        <v>74</v>
      </c>
      <c r="C50" s="100">
        <f t="shared" ref="C50:N50" si="15">$C$17</f>
        <v>100</v>
      </c>
      <c r="D50" s="101">
        <f t="shared" si="15"/>
        <v>100</v>
      </c>
      <c r="E50" s="101">
        <f t="shared" si="15"/>
        <v>100</v>
      </c>
      <c r="F50" s="101">
        <f t="shared" si="15"/>
        <v>100</v>
      </c>
      <c r="G50" s="101">
        <f t="shared" si="15"/>
        <v>100</v>
      </c>
      <c r="H50" s="101">
        <f t="shared" si="15"/>
        <v>100</v>
      </c>
      <c r="I50" s="101">
        <f t="shared" si="15"/>
        <v>100</v>
      </c>
      <c r="J50" s="101">
        <f t="shared" si="15"/>
        <v>100</v>
      </c>
      <c r="K50" s="101">
        <f t="shared" si="15"/>
        <v>100</v>
      </c>
      <c r="L50" s="101">
        <f t="shared" si="15"/>
        <v>100</v>
      </c>
      <c r="M50" s="101">
        <f t="shared" si="15"/>
        <v>100</v>
      </c>
      <c r="N50" s="102">
        <f t="shared" si="15"/>
        <v>100</v>
      </c>
      <c r="O50" s="109">
        <f t="shared" si="14"/>
        <v>1200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5"/>
      <c r="B51" s="104" t="s">
        <v>75</v>
      </c>
      <c r="C51" s="100">
        <f t="shared" ref="C51:N51" si="16">$C$18</f>
        <v>100</v>
      </c>
      <c r="D51" s="101">
        <f t="shared" si="16"/>
        <v>100</v>
      </c>
      <c r="E51" s="101">
        <f t="shared" si="16"/>
        <v>100</v>
      </c>
      <c r="F51" s="101">
        <f t="shared" si="16"/>
        <v>100</v>
      </c>
      <c r="G51" s="101">
        <f t="shared" si="16"/>
        <v>100</v>
      </c>
      <c r="H51" s="101">
        <f t="shared" si="16"/>
        <v>100</v>
      </c>
      <c r="I51" s="101">
        <f t="shared" si="16"/>
        <v>100</v>
      </c>
      <c r="J51" s="101">
        <f t="shared" si="16"/>
        <v>100</v>
      </c>
      <c r="K51" s="101">
        <f t="shared" si="16"/>
        <v>100</v>
      </c>
      <c r="L51" s="101">
        <f t="shared" si="16"/>
        <v>100</v>
      </c>
      <c r="M51" s="101">
        <f t="shared" si="16"/>
        <v>100</v>
      </c>
      <c r="N51" s="102">
        <f t="shared" si="16"/>
        <v>100</v>
      </c>
      <c r="O51" s="109">
        <f t="shared" si="14"/>
        <v>1200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5"/>
      <c r="B52" s="90" t="s">
        <v>76</v>
      </c>
      <c r="C52" s="91">
        <f t="shared" ref="C52:N52" si="17">$C$19</f>
        <v>100</v>
      </c>
      <c r="D52" s="92">
        <f t="shared" si="17"/>
        <v>100</v>
      </c>
      <c r="E52" s="92">
        <f t="shared" si="17"/>
        <v>100</v>
      </c>
      <c r="F52" s="92">
        <f t="shared" si="17"/>
        <v>100</v>
      </c>
      <c r="G52" s="92">
        <f t="shared" si="17"/>
        <v>100</v>
      </c>
      <c r="H52" s="92">
        <f t="shared" si="17"/>
        <v>100</v>
      </c>
      <c r="I52" s="92">
        <f t="shared" si="17"/>
        <v>100</v>
      </c>
      <c r="J52" s="92">
        <f t="shared" si="17"/>
        <v>100</v>
      </c>
      <c r="K52" s="92">
        <f t="shared" si="17"/>
        <v>100</v>
      </c>
      <c r="L52" s="92">
        <f t="shared" si="17"/>
        <v>100</v>
      </c>
      <c r="M52" s="92">
        <f t="shared" si="17"/>
        <v>100</v>
      </c>
      <c r="N52" s="93">
        <f t="shared" si="17"/>
        <v>100</v>
      </c>
      <c r="O52" s="94">
        <f t="shared" si="14"/>
        <v>1200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/>
      <c r="B53" s="116" t="s">
        <v>77</v>
      </c>
      <c r="C53" s="117">
        <f t="shared" ref="C53:N53" si="18">SUM(C48:C52)</f>
        <v>2498.333333</v>
      </c>
      <c r="D53" s="118">
        <f t="shared" si="18"/>
        <v>2498.333333</v>
      </c>
      <c r="E53" s="118">
        <f t="shared" si="18"/>
        <v>2498.333333</v>
      </c>
      <c r="F53" s="118">
        <f t="shared" si="18"/>
        <v>2498.333333</v>
      </c>
      <c r="G53" s="118">
        <f t="shared" si="18"/>
        <v>2498.333333</v>
      </c>
      <c r="H53" s="118">
        <f t="shared" si="18"/>
        <v>2498.333333</v>
      </c>
      <c r="I53" s="118">
        <f t="shared" si="18"/>
        <v>2498.333333</v>
      </c>
      <c r="J53" s="118">
        <f t="shared" si="18"/>
        <v>2498.333333</v>
      </c>
      <c r="K53" s="118">
        <f t="shared" si="18"/>
        <v>2498.333333</v>
      </c>
      <c r="L53" s="118">
        <f t="shared" si="18"/>
        <v>2498.333333</v>
      </c>
      <c r="M53" s="118">
        <f t="shared" si="18"/>
        <v>2498.333333</v>
      </c>
      <c r="N53" s="119">
        <f t="shared" si="18"/>
        <v>2498.333333</v>
      </c>
      <c r="O53" s="120">
        <f t="shared" si="14"/>
        <v>29980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/>
      <c r="B55" s="123" t="s">
        <v>78</v>
      </c>
      <c r="C55" s="124">
        <f t="shared" ref="C55:N55" si="19">C38-C44-C53</f>
        <v>2156.166667</v>
      </c>
      <c r="D55" s="125">
        <f t="shared" si="19"/>
        <v>5250.466667</v>
      </c>
      <c r="E55" s="125">
        <f t="shared" si="19"/>
        <v>6591.491667</v>
      </c>
      <c r="F55" s="125">
        <f t="shared" si="19"/>
        <v>6921.291667</v>
      </c>
      <c r="G55" s="125">
        <f t="shared" si="19"/>
        <v>8470.866667</v>
      </c>
      <c r="H55" s="125">
        <f t="shared" si="19"/>
        <v>9339.666667</v>
      </c>
      <c r="I55" s="125">
        <f t="shared" si="19"/>
        <v>11231.16667</v>
      </c>
      <c r="J55" s="125">
        <f t="shared" si="19"/>
        <v>11231.16667</v>
      </c>
      <c r="K55" s="125">
        <f t="shared" si="19"/>
        <v>9321.666667</v>
      </c>
      <c r="L55" s="125">
        <f t="shared" si="19"/>
        <v>6065.266667</v>
      </c>
      <c r="M55" s="125">
        <f t="shared" si="19"/>
        <v>4193.166667</v>
      </c>
      <c r="N55" s="126">
        <f t="shared" si="19"/>
        <v>3960.366667</v>
      </c>
      <c r="O55" s="127">
        <f>SUM(C55:N55)</f>
        <v>84732.75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41"/>
      <c r="C56" s="41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12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6"/>
      <c r="C57" s="14"/>
      <c r="D57" s="14"/>
      <c r="E57" s="14"/>
      <c r="F57" s="6"/>
      <c r="G57" s="6"/>
      <c r="H57" s="6"/>
      <c r="I57" s="129"/>
      <c r="J57" s="129"/>
      <c r="K57" s="129"/>
      <c r="L57" s="129"/>
      <c r="M57" s="129"/>
      <c r="N57" s="129"/>
      <c r="O57" s="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46"/>
      <c r="C58" s="130" t="s">
        <v>79</v>
      </c>
      <c r="D58" s="131"/>
      <c r="E58" s="84"/>
      <c r="F58" s="132"/>
      <c r="G58" s="14"/>
      <c r="H58" s="14"/>
      <c r="I58" s="6"/>
      <c r="J58" s="6"/>
      <c r="K58" s="6"/>
      <c r="L58" s="6"/>
      <c r="M58" s="6"/>
      <c r="N58" s="6"/>
      <c r="O58" s="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46"/>
      <c r="C59" s="133">
        <v>0.0</v>
      </c>
      <c r="D59" s="134">
        <v>1.0</v>
      </c>
      <c r="E59" s="134">
        <f t="shared" ref="E59:H59" si="20">D59+1</f>
        <v>2</v>
      </c>
      <c r="F59" s="134">
        <f t="shared" si="20"/>
        <v>3</v>
      </c>
      <c r="G59" s="134">
        <f t="shared" si="20"/>
        <v>4</v>
      </c>
      <c r="H59" s="135">
        <f t="shared" si="20"/>
        <v>5</v>
      </c>
      <c r="I59" s="22"/>
      <c r="J59" s="6"/>
      <c r="K59" s="6"/>
      <c r="L59" s="6"/>
      <c r="M59" s="6"/>
      <c r="N59" s="6"/>
      <c r="O59" s="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6"/>
      <c r="B60" s="137"/>
      <c r="C60" s="138">
        <f>-G6</f>
        <v>-210000</v>
      </c>
      <c r="D60" s="45">
        <f t="shared" ref="D60:H60" si="21">$O$55*(1-$C$9)</f>
        <v>59312.925</v>
      </c>
      <c r="E60" s="45">
        <f t="shared" si="21"/>
        <v>59312.925</v>
      </c>
      <c r="F60" s="45">
        <f t="shared" si="21"/>
        <v>59312.925</v>
      </c>
      <c r="G60" s="45">
        <f t="shared" si="21"/>
        <v>59312.925</v>
      </c>
      <c r="H60" s="139">
        <f t="shared" si="21"/>
        <v>59312.925</v>
      </c>
      <c r="I60" s="140"/>
      <c r="J60" s="141"/>
      <c r="K60" s="141"/>
      <c r="L60" s="141"/>
      <c r="M60" s="141"/>
      <c r="N60" s="141"/>
      <c r="O60" s="14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C3:N3"/>
  </mergeCells>
  <conditionalFormatting sqref="C10 C28 C40:O40 C44:N44">
    <cfRule type="cellIs" dxfId="0" priority="1" stopIfTrue="1" operator="lessThan">
      <formula>0</formula>
    </cfRule>
  </conditionalFormatting>
  <printOptions/>
  <pageMargins bottom="0.75" footer="0.0" header="0.0" left="0.7" right="0.7" top="0.75"/>
  <pageSetup orientation="portrait"/>
  <headerFooter>
    <oddFooter>&amp;C000000&amp;P</oddFooter>
  </headerFooter>
  <drawing r:id="rId2"/>
  <legacyDrawing r:id="rId3"/>
</worksheet>
</file>